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ssa\Documents\Resources\Scripts_Macros\"/>
    </mc:Choice>
  </mc:AlternateContent>
  <xr:revisionPtr revIDLastSave="0" documentId="13_ncr:1_{0D535117-7EF6-4AF8-84D1-A3239E21C168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Calculations" sheetId="1" r:id="rId1"/>
    <sheet name="MonteCarlo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" l="1"/>
  <c r="U36" i="1" l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35" i="1"/>
  <c r="W46" i="1"/>
  <c r="W58" i="1"/>
  <c r="W37" i="1"/>
  <c r="W62" i="1"/>
  <c r="W43" i="1"/>
  <c r="W55" i="1"/>
  <c r="W51" i="1"/>
  <c r="W48" i="1"/>
  <c r="W63" i="1"/>
  <c r="W44" i="1"/>
  <c r="W47" i="1"/>
  <c r="W61" i="1"/>
  <c r="W59" i="1"/>
  <c r="W57" i="1"/>
  <c r="W53" i="1"/>
  <c r="W40" i="1"/>
  <c r="W64" i="1"/>
  <c r="W56" i="1"/>
  <c r="W42" i="1"/>
  <c r="W35" i="1"/>
  <c r="W50" i="1"/>
  <c r="W60" i="1"/>
  <c r="W38" i="1"/>
  <c r="W52" i="1"/>
  <c r="W49" i="1"/>
  <c r="W36" i="1"/>
  <c r="W41" i="1"/>
  <c r="W45" i="1"/>
  <c r="W54" i="1"/>
  <c r="W39" i="1"/>
  <c r="W66" i="1" l="1"/>
  <c r="C3" i="2" l="1"/>
  <c r="D3" i="2"/>
  <c r="E3" i="2"/>
  <c r="B3" i="2"/>
  <c r="C2" i="2"/>
  <c r="D2" i="2"/>
  <c r="E2" i="2"/>
  <c r="B2" i="2"/>
  <c r="AG3" i="1" l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2" i="1"/>
  <c r="Y101" i="1"/>
  <c r="AA101" i="1" s="1"/>
  <c r="Y3" i="1"/>
  <c r="AA3" i="1" s="1"/>
  <c r="Y4" i="1"/>
  <c r="AA4" i="1" s="1"/>
  <c r="Y5" i="1"/>
  <c r="AA5" i="1" s="1"/>
  <c r="Y6" i="1"/>
  <c r="AA6" i="1" s="1"/>
  <c r="Y7" i="1"/>
  <c r="AA7" i="1" s="1"/>
  <c r="Y8" i="1"/>
  <c r="AA8" i="1" s="1"/>
  <c r="Y9" i="1"/>
  <c r="AA9" i="1" s="1"/>
  <c r="Y10" i="1"/>
  <c r="AA10" i="1" s="1"/>
  <c r="Y11" i="1"/>
  <c r="AA11" i="1" s="1"/>
  <c r="Y12" i="1"/>
  <c r="AA12" i="1" s="1"/>
  <c r="Y13" i="1"/>
  <c r="AA13" i="1" s="1"/>
  <c r="Y14" i="1"/>
  <c r="AA14" i="1" s="1"/>
  <c r="Y15" i="1"/>
  <c r="AA15" i="1" s="1"/>
  <c r="Y16" i="1"/>
  <c r="AA16" i="1" s="1"/>
  <c r="Y17" i="1"/>
  <c r="AA17" i="1" s="1"/>
  <c r="Y18" i="1"/>
  <c r="AA18" i="1" s="1"/>
  <c r="Y19" i="1"/>
  <c r="AA19" i="1" s="1"/>
  <c r="Y20" i="1"/>
  <c r="AA20" i="1" s="1"/>
  <c r="Y21" i="1"/>
  <c r="AA21" i="1" s="1"/>
  <c r="Y22" i="1"/>
  <c r="AA22" i="1" s="1"/>
  <c r="Y23" i="1"/>
  <c r="AA23" i="1" s="1"/>
  <c r="Y24" i="1"/>
  <c r="AA24" i="1" s="1"/>
  <c r="Y25" i="1"/>
  <c r="AA25" i="1" s="1"/>
  <c r="Y26" i="1"/>
  <c r="AA26" i="1" s="1"/>
  <c r="Y27" i="1"/>
  <c r="AA27" i="1" s="1"/>
  <c r="Y28" i="1"/>
  <c r="AA28" i="1" s="1"/>
  <c r="Y29" i="1"/>
  <c r="AA29" i="1" s="1"/>
  <c r="Y30" i="1"/>
  <c r="AA30" i="1" s="1"/>
  <c r="Y31" i="1"/>
  <c r="AA31" i="1" s="1"/>
  <c r="Y32" i="1"/>
  <c r="AA32" i="1" s="1"/>
  <c r="Y33" i="1"/>
  <c r="AA33" i="1" s="1"/>
  <c r="Y34" i="1"/>
  <c r="AA34" i="1" s="1"/>
  <c r="Y35" i="1"/>
  <c r="AA35" i="1" s="1"/>
  <c r="Y36" i="1"/>
  <c r="AA36" i="1" s="1"/>
  <c r="Y37" i="1"/>
  <c r="AA37" i="1" s="1"/>
  <c r="Y38" i="1"/>
  <c r="AA38" i="1" s="1"/>
  <c r="Y39" i="1"/>
  <c r="AA39" i="1" s="1"/>
  <c r="Y40" i="1"/>
  <c r="AA40" i="1" s="1"/>
  <c r="Y41" i="1"/>
  <c r="AA41" i="1" s="1"/>
  <c r="Y42" i="1"/>
  <c r="AA42" i="1" s="1"/>
  <c r="Y43" i="1"/>
  <c r="AA43" i="1" s="1"/>
  <c r="Y44" i="1"/>
  <c r="AA44" i="1" s="1"/>
  <c r="Y45" i="1"/>
  <c r="AA45" i="1" s="1"/>
  <c r="Y46" i="1"/>
  <c r="AA46" i="1" s="1"/>
  <c r="Y47" i="1"/>
  <c r="AA47" i="1" s="1"/>
  <c r="Y48" i="1"/>
  <c r="AA48" i="1" s="1"/>
  <c r="Y49" i="1"/>
  <c r="AA49" i="1" s="1"/>
  <c r="Y50" i="1"/>
  <c r="AA50" i="1" s="1"/>
  <c r="Y51" i="1"/>
  <c r="AA51" i="1" s="1"/>
  <c r="Y52" i="1"/>
  <c r="AA52" i="1" s="1"/>
  <c r="Y53" i="1"/>
  <c r="AA53" i="1" s="1"/>
  <c r="Y54" i="1"/>
  <c r="AA54" i="1" s="1"/>
  <c r="Y55" i="1"/>
  <c r="AA55" i="1" s="1"/>
  <c r="Y56" i="1"/>
  <c r="AA56" i="1" s="1"/>
  <c r="Y57" i="1"/>
  <c r="AA57" i="1" s="1"/>
  <c r="Y58" i="1"/>
  <c r="AA58" i="1" s="1"/>
  <c r="Y59" i="1"/>
  <c r="AA59" i="1" s="1"/>
  <c r="Y60" i="1"/>
  <c r="AA60" i="1" s="1"/>
  <c r="Y61" i="1"/>
  <c r="AA61" i="1" s="1"/>
  <c r="Y62" i="1"/>
  <c r="AA62" i="1" s="1"/>
  <c r="Y63" i="1"/>
  <c r="AA63" i="1" s="1"/>
  <c r="Y64" i="1"/>
  <c r="AA64" i="1" s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AA70" i="1" s="1"/>
  <c r="Y71" i="1"/>
  <c r="AA71" i="1" s="1"/>
  <c r="Y72" i="1"/>
  <c r="AA72" i="1" s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AA78" i="1" s="1"/>
  <c r="Y79" i="1"/>
  <c r="AA79" i="1" s="1"/>
  <c r="Y80" i="1"/>
  <c r="AA80" i="1" s="1"/>
  <c r="Y81" i="1"/>
  <c r="AA81" i="1" s="1"/>
  <c r="Y82" i="1"/>
  <c r="AA82" i="1" s="1"/>
  <c r="Y83" i="1"/>
  <c r="AA83" i="1" s="1"/>
  <c r="Y84" i="1"/>
  <c r="AA84" i="1" s="1"/>
  <c r="Y85" i="1"/>
  <c r="AA85" i="1" s="1"/>
  <c r="Y86" i="1"/>
  <c r="AA86" i="1" s="1"/>
  <c r="Y87" i="1"/>
  <c r="AA87" i="1" s="1"/>
  <c r="Y88" i="1"/>
  <c r="AA88" i="1" s="1"/>
  <c r="Y89" i="1"/>
  <c r="AA89" i="1" s="1"/>
  <c r="Y90" i="1"/>
  <c r="AA90" i="1" s="1"/>
  <c r="Y91" i="1"/>
  <c r="AA91" i="1" s="1"/>
  <c r="Y92" i="1"/>
  <c r="AA92" i="1" s="1"/>
  <c r="Y93" i="1"/>
  <c r="AA93" i="1" s="1"/>
  <c r="Y94" i="1"/>
  <c r="AA94" i="1" s="1"/>
  <c r="Y95" i="1"/>
  <c r="AA95" i="1" s="1"/>
  <c r="Y96" i="1"/>
  <c r="AA96" i="1" s="1"/>
  <c r="Y97" i="1"/>
  <c r="AA97" i="1" s="1"/>
  <c r="Y98" i="1"/>
  <c r="AA98" i="1" s="1"/>
  <c r="Y99" i="1"/>
  <c r="AA99" i="1" s="1"/>
  <c r="Y100" i="1"/>
  <c r="AA100" i="1" s="1"/>
  <c r="Y2" i="1"/>
  <c r="AA2" i="1" s="1"/>
  <c r="G36" i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9" i="1"/>
  <c r="Z21" i="1"/>
  <c r="Z22" i="1"/>
  <c r="Z31" i="1"/>
  <c r="Z36" i="1"/>
  <c r="Z43" i="1"/>
  <c r="Z48" i="1"/>
  <c r="Z49" i="1"/>
  <c r="Z55" i="1"/>
  <c r="Z60" i="1"/>
  <c r="Z67" i="1"/>
  <c r="Z70" i="1"/>
  <c r="Z79" i="1"/>
  <c r="Z91" i="1"/>
  <c r="Z96" i="1"/>
  <c r="Z99" i="1"/>
  <c r="Z87" i="1" l="1"/>
  <c r="Z75" i="1"/>
  <c r="Z27" i="1"/>
  <c r="Z63" i="1"/>
  <c r="Z62" i="1"/>
  <c r="Z57" i="1"/>
  <c r="Z97" i="1"/>
  <c r="Z84" i="1"/>
  <c r="Z69" i="1"/>
  <c r="Z61" i="1"/>
  <c r="Z51" i="1"/>
  <c r="Z39" i="1"/>
  <c r="Z82" i="1"/>
  <c r="Z74" i="1"/>
  <c r="Z34" i="1"/>
  <c r="Z26" i="1"/>
  <c r="Z94" i="1"/>
  <c r="Z86" i="1"/>
  <c r="Z81" i="1"/>
  <c r="Z73" i="1"/>
  <c r="Z46" i="1"/>
  <c r="Z38" i="1"/>
  <c r="Z33" i="1"/>
  <c r="Z25" i="1"/>
  <c r="Z98" i="1"/>
  <c r="Z93" i="1"/>
  <c r="Z85" i="1"/>
  <c r="Z72" i="1"/>
  <c r="Z58" i="1"/>
  <c r="Z50" i="1"/>
  <c r="Z45" i="1"/>
  <c r="Z37" i="1"/>
  <c r="Z24" i="1"/>
  <c r="Z92" i="1"/>
  <c r="Z80" i="1"/>
  <c r="Z68" i="1"/>
  <c r="Z56" i="1"/>
  <c r="Z44" i="1"/>
  <c r="Z32" i="1"/>
  <c r="Z20" i="1"/>
  <c r="Z90" i="1"/>
  <c r="Z54" i="1"/>
  <c r="Z2" i="1"/>
  <c r="Z77" i="1"/>
  <c r="Z53" i="1"/>
  <c r="Z41" i="1"/>
  <c r="Z29" i="1"/>
  <c r="Z100" i="1"/>
  <c r="Z88" i="1"/>
  <c r="Z76" i="1"/>
  <c r="Z64" i="1"/>
  <c r="Z52" i="1"/>
  <c r="Z40" i="1"/>
  <c r="Z28" i="1"/>
  <c r="Z16" i="1"/>
  <c r="Z78" i="1"/>
  <c r="Z66" i="1"/>
  <c r="Z42" i="1"/>
  <c r="Z30" i="1"/>
  <c r="Z18" i="1"/>
  <c r="Z89" i="1"/>
  <c r="Z65" i="1"/>
  <c r="Z17" i="1"/>
  <c r="Z95" i="1"/>
  <c r="Z83" i="1"/>
  <c r="Z71" i="1"/>
  <c r="Z59" i="1"/>
  <c r="Z47" i="1"/>
  <c r="Z35" i="1"/>
  <c r="Z23" i="1"/>
  <c r="Z101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E64" i="1" s="1"/>
  <c r="F64" i="1" s="1"/>
  <c r="D35" i="1"/>
  <c r="E35" i="1" l="1"/>
  <c r="F35" i="1" s="1"/>
  <c r="E61" i="1"/>
  <c r="F61" i="1" s="1"/>
  <c r="E57" i="1"/>
  <c r="F57" i="1" s="1"/>
  <c r="E53" i="1"/>
  <c r="F53" i="1" s="1"/>
  <c r="E49" i="1"/>
  <c r="F49" i="1" s="1"/>
  <c r="E45" i="1"/>
  <c r="F45" i="1" s="1"/>
  <c r="E41" i="1"/>
  <c r="F41" i="1" s="1"/>
  <c r="E37" i="1"/>
  <c r="F37" i="1" s="1"/>
  <c r="E63" i="1"/>
  <c r="F63" i="1" s="1"/>
  <c r="E59" i="1"/>
  <c r="F59" i="1" s="1"/>
  <c r="E55" i="1"/>
  <c r="F55" i="1" s="1"/>
  <c r="E51" i="1"/>
  <c r="F51" i="1" s="1"/>
  <c r="E47" i="1"/>
  <c r="F47" i="1" s="1"/>
  <c r="E43" i="1"/>
  <c r="F43" i="1" s="1"/>
  <c r="E39" i="1"/>
  <c r="F39" i="1" s="1"/>
  <c r="E62" i="1"/>
  <c r="F62" i="1" s="1"/>
  <c r="E58" i="1"/>
  <c r="F58" i="1" s="1"/>
  <c r="E54" i="1"/>
  <c r="F54" i="1" s="1"/>
  <c r="E50" i="1"/>
  <c r="F50" i="1" s="1"/>
  <c r="E46" i="1"/>
  <c r="F46" i="1" s="1"/>
  <c r="E42" i="1"/>
  <c r="F42" i="1" s="1"/>
  <c r="E38" i="1"/>
  <c r="F38" i="1" s="1"/>
  <c r="E60" i="1"/>
  <c r="F60" i="1" s="1"/>
  <c r="E56" i="1"/>
  <c r="F56" i="1" s="1"/>
  <c r="E52" i="1"/>
  <c r="F52" i="1" s="1"/>
  <c r="E48" i="1"/>
  <c r="F48" i="1" s="1"/>
  <c r="E44" i="1"/>
  <c r="F44" i="1" s="1"/>
  <c r="E40" i="1"/>
  <c r="F40" i="1" s="1"/>
  <c r="E36" i="1"/>
  <c r="F36" i="1" s="1"/>
  <c r="B69" i="1" l="1"/>
  <c r="F69" i="1"/>
  <c r="B66" i="1"/>
  <c r="F66" i="1"/>
  <c r="J44" i="1"/>
  <c r="K44" i="1" s="1"/>
  <c r="J50" i="1"/>
  <c r="K50" i="1" s="1"/>
  <c r="J55" i="1"/>
  <c r="K55" i="1" s="1"/>
  <c r="J57" i="1"/>
  <c r="K57" i="1" s="1"/>
  <c r="J48" i="1"/>
  <c r="K48" i="1" s="1"/>
  <c r="J54" i="1"/>
  <c r="K54" i="1" s="1"/>
  <c r="J59" i="1"/>
  <c r="K59" i="1" s="1"/>
  <c r="J45" i="1"/>
  <c r="K45" i="1" s="1"/>
  <c r="J40" i="1"/>
  <c r="K40" i="1" s="1"/>
  <c r="J56" i="1"/>
  <c r="K56" i="1" s="1"/>
  <c r="J46" i="1"/>
  <c r="K46" i="1" s="1"/>
  <c r="J62" i="1"/>
  <c r="K62" i="1" s="1"/>
  <c r="J51" i="1"/>
  <c r="K51" i="1" s="1"/>
  <c r="J37" i="1"/>
  <c r="K37" i="1" s="1"/>
  <c r="J53" i="1"/>
  <c r="K53" i="1" s="1"/>
  <c r="J60" i="1"/>
  <c r="K60" i="1" s="1"/>
  <c r="J39" i="1"/>
  <c r="K39" i="1" s="1"/>
  <c r="J41" i="1"/>
  <c r="K41" i="1" s="1"/>
  <c r="J38" i="1"/>
  <c r="K38" i="1" s="1"/>
  <c r="J43" i="1"/>
  <c r="K43" i="1" s="1"/>
  <c r="J61" i="1"/>
  <c r="K61" i="1" s="1"/>
  <c r="J36" i="1"/>
  <c r="K36" i="1" s="1"/>
  <c r="J52" i="1"/>
  <c r="K52" i="1" s="1"/>
  <c r="J42" i="1"/>
  <c r="K42" i="1" s="1"/>
  <c r="J58" i="1"/>
  <c r="K58" i="1" s="1"/>
  <c r="J47" i="1"/>
  <c r="K47" i="1" s="1"/>
  <c r="J63" i="1"/>
  <c r="K63" i="1" s="1"/>
  <c r="J49" i="1"/>
  <c r="K49" i="1" s="1"/>
  <c r="J35" i="1"/>
  <c r="K35" i="1" s="1"/>
  <c r="B64" i="1"/>
  <c r="C64" i="1" s="1"/>
  <c r="J64" i="1"/>
  <c r="K64" i="1" s="1"/>
  <c r="B46" i="1"/>
  <c r="C46" i="1" s="1"/>
  <c r="B55" i="1"/>
  <c r="C55" i="1" s="1"/>
  <c r="B48" i="1"/>
  <c r="C48" i="1" s="1"/>
  <c r="B45" i="1"/>
  <c r="C45" i="1" s="1"/>
  <c r="B54" i="1"/>
  <c r="C54" i="1" s="1"/>
  <c r="B59" i="1"/>
  <c r="C59" i="1" s="1"/>
  <c r="B39" i="1"/>
  <c r="C39" i="1" s="1"/>
  <c r="B40" i="1"/>
  <c r="C40" i="1" s="1"/>
  <c r="B56" i="1"/>
  <c r="C56" i="1" s="1"/>
  <c r="B37" i="1"/>
  <c r="C37" i="1" s="1"/>
  <c r="B53" i="1"/>
  <c r="C53" i="1" s="1"/>
  <c r="B42" i="1"/>
  <c r="C42" i="1" s="1"/>
  <c r="B43" i="1"/>
  <c r="C43" i="1" s="1"/>
  <c r="B38" i="1"/>
  <c r="C38" i="1" s="1"/>
  <c r="B47" i="1"/>
  <c r="C47" i="1" s="1"/>
  <c r="B44" i="1"/>
  <c r="C44" i="1" s="1"/>
  <c r="B60" i="1"/>
  <c r="C60" i="1" s="1"/>
  <c r="B41" i="1"/>
  <c r="C41" i="1" s="1"/>
  <c r="B57" i="1"/>
  <c r="C57" i="1" s="1"/>
  <c r="B50" i="1"/>
  <c r="C50" i="1" s="1"/>
  <c r="B51" i="1"/>
  <c r="C51" i="1" s="1"/>
  <c r="B61" i="1"/>
  <c r="C61" i="1" s="1"/>
  <c r="B58" i="1"/>
  <c r="C58" i="1" s="1"/>
  <c r="B36" i="1"/>
  <c r="C36" i="1" s="1"/>
  <c r="B52" i="1"/>
  <c r="C52" i="1" s="1"/>
  <c r="B49" i="1"/>
  <c r="C49" i="1" s="1"/>
  <c r="B35" i="1"/>
  <c r="C35" i="1" s="1"/>
  <c r="B62" i="1"/>
  <c r="C62" i="1" s="1"/>
  <c r="B63" i="1"/>
  <c r="C63" i="1" s="1"/>
  <c r="B68" i="1" l="1"/>
  <c r="F68" i="1"/>
  <c r="B67" i="1"/>
  <c r="K66" i="1"/>
  <c r="I64" i="1"/>
  <c r="H64" i="1" s="1"/>
  <c r="I62" i="1"/>
  <c r="H62" i="1" s="1"/>
  <c r="I46" i="1"/>
  <c r="H46" i="1" s="1"/>
  <c r="I57" i="1"/>
  <c r="H57" i="1" s="1"/>
  <c r="I41" i="1"/>
  <c r="H41" i="1" s="1"/>
  <c r="I48" i="1"/>
  <c r="H48" i="1" s="1"/>
  <c r="I59" i="1"/>
  <c r="H59" i="1" s="1"/>
  <c r="I43" i="1"/>
  <c r="H43" i="1" s="1"/>
  <c r="I36" i="1"/>
  <c r="H36" i="1" s="1"/>
  <c r="I58" i="1"/>
  <c r="H58" i="1" s="1"/>
  <c r="I60" i="1"/>
  <c r="H60" i="1" s="1"/>
  <c r="I55" i="1"/>
  <c r="H55" i="1" s="1"/>
  <c r="I35" i="1"/>
  <c r="H35" i="1" s="1"/>
  <c r="I56" i="1"/>
  <c r="H56" i="1" s="1"/>
  <c r="I51" i="1"/>
  <c r="H51" i="1" s="1"/>
  <c r="I50" i="1"/>
  <c r="H50" i="1" s="1"/>
  <c r="I61" i="1"/>
  <c r="H61" i="1" s="1"/>
  <c r="I45" i="1"/>
  <c r="H45" i="1" s="1"/>
  <c r="I52" i="1"/>
  <c r="H52" i="1" s="1"/>
  <c r="I63" i="1"/>
  <c r="H63" i="1" s="1"/>
  <c r="I47" i="1"/>
  <c r="H47" i="1" s="1"/>
  <c r="I37" i="1"/>
  <c r="H37" i="1" s="1"/>
  <c r="I42" i="1"/>
  <c r="H42" i="1" s="1"/>
  <c r="I53" i="1"/>
  <c r="H53" i="1" s="1"/>
  <c r="I44" i="1"/>
  <c r="H44" i="1" s="1"/>
  <c r="I39" i="1"/>
  <c r="H39" i="1" s="1"/>
  <c r="I54" i="1"/>
  <c r="H54" i="1" s="1"/>
  <c r="I49" i="1"/>
  <c r="H49" i="1" s="1"/>
  <c r="I40" i="1"/>
  <c r="H40" i="1" s="1"/>
  <c r="I38" i="1"/>
  <c r="H38" i="1" s="1"/>
</calcChain>
</file>

<file path=xl/sharedStrings.xml><?xml version="1.0" encoding="utf-8"?>
<sst xmlns="http://schemas.openxmlformats.org/spreadsheetml/2006/main" count="181" uniqueCount="111">
  <si>
    <t xml:space="preserve"> </t>
  </si>
  <si>
    <t xml:space="preserve">                 DSN1 -1</t>
  </si>
  <si>
    <t xml:space="preserve"> TRANSFORM      Y=LOG10(X)</t>
  </si>
  <si>
    <t xml:space="preserve"> Values before outliers were removed:</t>
  </si>
  <si>
    <t xml:space="preserve"> Values after outliers are removed:</t>
  </si>
  <si>
    <t xml:space="preserve"> Adjusted Skew is rounded to the nearest tenth</t>
  </si>
  <si>
    <t xml:space="preserve"> Adjusted Skew is a weighting of the Calculated and Regional Skews</t>
  </si>
  <si>
    <t xml:space="preserve"> Data is fit to a Log Pearson III distribution using the method of Bulletin 17B</t>
  </si>
  <si>
    <t>Results from Latest Tolt River Frequency Analysis (by Colin)</t>
  </si>
  <si>
    <t>Year</t>
  </si>
  <si>
    <t>Rank</t>
  </si>
  <si>
    <t>Plotting Position</t>
  </si>
  <si>
    <t>Random Number</t>
  </si>
  <si>
    <t>Flow (cfs)</t>
  </si>
  <si>
    <t>Climate Scalar</t>
  </si>
  <si>
    <t>Climate Flow</t>
  </si>
  <si>
    <t>1964-01</t>
  </si>
  <si>
    <t>1965-01</t>
  </si>
  <si>
    <t>1966-01</t>
  </si>
  <si>
    <t>1966-12</t>
  </si>
  <si>
    <t>1967-12</t>
  </si>
  <si>
    <t>1969-01</t>
  </si>
  <si>
    <t>1969-10</t>
  </si>
  <si>
    <t>1971-01</t>
  </si>
  <si>
    <t>1971-11</t>
  </si>
  <si>
    <t>1972-12</t>
  </si>
  <si>
    <t>1974-01</t>
  </si>
  <si>
    <t>1975-01</t>
  </si>
  <si>
    <t>1975-12</t>
  </si>
  <si>
    <t>1977-01</t>
  </si>
  <si>
    <t>1977-12</t>
  </si>
  <si>
    <t>1978-12</t>
  </si>
  <si>
    <t>1979-12</t>
  </si>
  <si>
    <t>1980-12</t>
  </si>
  <si>
    <t>1982-02</t>
  </si>
  <si>
    <t>1983-01</t>
  </si>
  <si>
    <t>1984-01</t>
  </si>
  <si>
    <t>1985-06</t>
  </si>
  <si>
    <t>1985-11</t>
  </si>
  <si>
    <t>1986-11</t>
  </si>
  <si>
    <t>1988-04</t>
  </si>
  <si>
    <t>1988-10</t>
  </si>
  <si>
    <t>1990-01</t>
  </si>
  <si>
    <t>1990-11</t>
  </si>
  <si>
    <t>1992-01</t>
  </si>
  <si>
    <t>1993-01</t>
  </si>
  <si>
    <t>1993-12</t>
  </si>
  <si>
    <t>1995-02</t>
  </si>
  <si>
    <t>1995-11</t>
  </si>
  <si>
    <t>1997-03</t>
  </si>
  <si>
    <t>1997-10</t>
  </si>
  <si>
    <t>1999-01</t>
  </si>
  <si>
    <t>1999-12</t>
  </si>
  <si>
    <t>2001-03</t>
  </si>
  <si>
    <t>2001-11</t>
  </si>
  <si>
    <t>2003-01</t>
  </si>
  <si>
    <t>2003-10</t>
  </si>
  <si>
    <t>2004-11</t>
  </si>
  <si>
    <t>2006-01</t>
  </si>
  <si>
    <t>2006-11</t>
  </si>
  <si>
    <t>2007-12</t>
  </si>
  <si>
    <t>2009-01</t>
  </si>
  <si>
    <t>2009-10</t>
  </si>
  <si>
    <t>2010-12</t>
  </si>
  <si>
    <t>2012-02</t>
  </si>
  <si>
    <t>2013-03</t>
  </si>
  <si>
    <t>2014-03</t>
  </si>
  <si>
    <t>2015-01</t>
  </si>
  <si>
    <t>2015-10</t>
  </si>
  <si>
    <t>2017-03</t>
  </si>
  <si>
    <t>2018-02</t>
  </si>
  <si>
    <t>(cfs)</t>
  </si>
  <si>
    <t>(%)</t>
  </si>
  <si>
    <t>PP</t>
  </si>
  <si>
    <t>Sediment</t>
  </si>
  <si>
    <t>Flow</t>
  </si>
  <si>
    <t>Reccurence Event (years)</t>
  </si>
  <si>
    <t>Max. Q (cfs)</t>
  </si>
  <si>
    <t>Total Sediment Transported (yd)</t>
  </si>
  <si>
    <t>Bedload</t>
  </si>
  <si>
    <t>Total sed, current Hyd</t>
  </si>
  <si>
    <t>Increase</t>
  </si>
  <si>
    <t>Diff from</t>
  </si>
  <si>
    <t>Total sed, change hyd</t>
  </si>
  <si>
    <t>Simulation</t>
  </si>
  <si>
    <t>Increase, %</t>
  </si>
  <si>
    <t>Difference from Historical, %</t>
  </si>
  <si>
    <t>Total Sediment, Current Hydrology, cubic yards</t>
  </si>
  <si>
    <t>Total Sediment, Changing Hydrology, cubic yards</t>
  </si>
  <si>
    <t>Mean</t>
  </si>
  <si>
    <t>Standard Dev</t>
  </si>
  <si>
    <t>WY</t>
  </si>
  <si>
    <t>Date</t>
  </si>
  <si>
    <t>Peak Q (cfs)</t>
  </si>
  <si>
    <t>Return</t>
  </si>
  <si>
    <t>DSN1 -1</t>
  </si>
  <si>
    <t>Period</t>
  </si>
  <si>
    <t>Peak</t>
  </si>
  <si>
    <t>Entries</t>
  </si>
  <si>
    <t>Variance</t>
  </si>
  <si>
    <t>Skew</t>
  </si>
  <si>
    <t>Calc Skew</t>
  </si>
  <si>
    <t>Rgnl Skew</t>
  </si>
  <si>
    <t>Rgnl  MSE</t>
  </si>
  <si>
    <t>Alpha</t>
  </si>
  <si>
    <t>Beta</t>
  </si>
  <si>
    <t>Gamma</t>
  </si>
  <si>
    <t>0</t>
  </si>
  <si>
    <t>More</t>
  </si>
  <si>
    <t>Frequency</t>
  </si>
  <si>
    <t>Bedload Delivered (yards/30-year period)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</si>
</sst>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0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2" borderId="2" applyNumberFormat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 wrapTex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3" fontId="0" fillId="0" borderId="0" xfId="1" applyFont="1"/>
    <xf numFmtId="3" fontId="0" fillId="0" borderId="0" xfId="0" applyNumberFormat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1" fontId="4" fillId="2" borderId="2" xfId="2" applyNumberFormat="1" applyAlignment="1">
      <alignment horizontal="center"/>
    </xf>
    <xf numFmtId="2" fontId="0" fillId="0" borderId="0" xfId="3" applyNumberFormat="1" applyFont="1" applyAlignment="1">
      <alignment horizontal="center" wrapText="1"/>
    </xf>
    <xf numFmtId="2" fontId="4" fillId="2" borderId="2" xfId="3" applyNumberFormat="1" applyFont="1" applyFill="1" applyBorder="1" applyAlignment="1">
      <alignment horizontal="center"/>
    </xf>
    <xf numFmtId="2" fontId="0" fillId="0" borderId="0" xfId="3" applyNumberFormat="1" applyFont="1" applyAlignment="1">
      <alignment horizontal="center"/>
    </xf>
    <xf numFmtId="2" fontId="0" fillId="0" borderId="0" xfId="0" applyNumberFormat="1" applyAlignment="1">
      <alignment horizontal="center" wrapText="1"/>
    </xf>
    <xf numFmtId="2" fontId="4" fillId="2" borderId="2" xfId="2" applyNumberFormat="1" applyAlignment="1">
      <alignment horizontal="center"/>
    </xf>
    <xf numFmtId="0" fontId="4" fillId="2" borderId="2" xfId="2" applyAlignment="1">
      <alignment horizontal="center"/>
    </xf>
    <xf numFmtId="1" fontId="0" fillId="3" borderId="1" xfId="0" applyNumberForma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1" fontId="5" fillId="0" borderId="0" xfId="0" applyNumberFormat="1" applyFont="1" applyAlignment="1">
      <alignment horizontal="center" wrapText="1"/>
    </xf>
    <xf numFmtId="0" fontId="5" fillId="0" borderId="0" xfId="0" applyFont="1"/>
    <xf numFmtId="0" fontId="0" fillId="0" borderId="0" xfId="0" applyNumberFormat="1" applyFill="1" applyBorder="1" applyAlignment="1"/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3" xfId="0" applyFill="1" applyBorder="1" applyAlignment="1"/>
    <xf numFmtId="10" fontId="0" fillId="0" borderId="3" xfId="0" applyNumberFormat="1" applyFill="1" applyBorder="1" applyAlignment="1"/>
    <xf numFmtId="0" fontId="9" fillId="0" borderId="4" xfId="0" applyFont="1" applyFill="1" applyBorder="1" applyAlignment="1">
      <alignment horizontal="center"/>
    </xf>
  </cellXfs>
  <cellStyles count="4">
    <cellStyle name="Calculation" xfId="2" builtinId="22"/>
    <cellStyle name="Comma" xfId="1" builtinId="3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629900220388278E-2"/>
          <c:y val="3.3046332248653255E-2"/>
          <c:w val="0.88314990868972587"/>
          <c:h val="0.85754817761181912"/>
        </c:manualLayout>
      </c:layout>
      <c:scatterChart>
        <c:scatterStyle val="lineMarker"/>
        <c:varyColors val="0"/>
        <c:ser>
          <c:idx val="0"/>
          <c:order val="0"/>
          <c:tx>
            <c:v>Current Climate 30-year Record</c:v>
          </c:tx>
          <c:spPr>
            <a:ln w="28575">
              <a:noFill/>
            </a:ln>
          </c:spPr>
          <c:xVal>
            <c:numRef>
              <c:f>Calculations!$C$35:$C$64</c:f>
              <c:numCache>
                <c:formatCode>0.000</c:formatCode>
                <c:ptCount val="30"/>
                <c:pt idx="0">
                  <c:v>0.98140770252324028</c:v>
                </c:pt>
                <c:pt idx="1">
                  <c:v>0.51660026560424965</c:v>
                </c:pt>
                <c:pt idx="2">
                  <c:v>0.31739707835325365</c:v>
                </c:pt>
                <c:pt idx="3">
                  <c:v>0.54980079681274896</c:v>
                </c:pt>
                <c:pt idx="4">
                  <c:v>0.45019920318725098</c:v>
                </c:pt>
                <c:pt idx="5">
                  <c:v>0.7158034528552456</c:v>
                </c:pt>
                <c:pt idx="6">
                  <c:v>0.61620185922974757</c:v>
                </c:pt>
                <c:pt idx="7">
                  <c:v>0.58300132802124827</c:v>
                </c:pt>
                <c:pt idx="8">
                  <c:v>0.74900398406374491</c:v>
                </c:pt>
                <c:pt idx="9">
                  <c:v>0.64940239043824699</c:v>
                </c:pt>
                <c:pt idx="10">
                  <c:v>0.94820717131474097</c:v>
                </c:pt>
                <c:pt idx="11">
                  <c:v>0.78220451527224433</c:v>
                </c:pt>
                <c:pt idx="12">
                  <c:v>0.35059760956175301</c:v>
                </c:pt>
                <c:pt idx="13">
                  <c:v>8.4993359893758294E-2</c:v>
                </c:pt>
                <c:pt idx="14">
                  <c:v>0.48339973439575035</c:v>
                </c:pt>
                <c:pt idx="15">
                  <c:v>0.38379814077025232</c:v>
                </c:pt>
                <c:pt idx="16">
                  <c:v>0.81540504648074363</c:v>
                </c:pt>
                <c:pt idx="17">
                  <c:v>0.25099601593625498</c:v>
                </c:pt>
                <c:pt idx="18">
                  <c:v>0.41699867197875168</c:v>
                </c:pt>
                <c:pt idx="19">
                  <c:v>0.11819389110225763</c:v>
                </c:pt>
                <c:pt idx="20">
                  <c:v>5.1792828685258967E-2</c:v>
                </c:pt>
                <c:pt idx="21">
                  <c:v>0.6826029216467463</c:v>
                </c:pt>
                <c:pt idx="22">
                  <c:v>0.84860557768924294</c:v>
                </c:pt>
                <c:pt idx="23">
                  <c:v>0.88180610889774225</c:v>
                </c:pt>
                <c:pt idx="24">
                  <c:v>0.91500664010624166</c:v>
                </c:pt>
                <c:pt idx="25">
                  <c:v>0.18459495351925628</c:v>
                </c:pt>
                <c:pt idx="26">
                  <c:v>0.28419654714475434</c:v>
                </c:pt>
                <c:pt idx="27">
                  <c:v>0.15139442231075695</c:v>
                </c:pt>
                <c:pt idx="28">
                  <c:v>1.8592297476759629E-2</c:v>
                </c:pt>
                <c:pt idx="29">
                  <c:v>0.21779548472775562</c:v>
                </c:pt>
              </c:numCache>
            </c:numRef>
          </c:xVal>
          <c:yVal>
            <c:numRef>
              <c:f>Calculations!$E$35:$E$64</c:f>
              <c:numCache>
                <c:formatCode>0</c:formatCode>
                <c:ptCount val="30"/>
                <c:pt idx="0">
                  <c:v>2989.0518735718761</c:v>
                </c:pt>
                <c:pt idx="1">
                  <c:v>5866.1805983796021</c:v>
                </c:pt>
                <c:pt idx="2">
                  <c:v>8035.4152296618568</c:v>
                </c:pt>
                <c:pt idx="3">
                  <c:v>5663.6930935273367</c:v>
                </c:pt>
                <c:pt idx="4">
                  <c:v>6088.3089286228087</c:v>
                </c:pt>
                <c:pt idx="5">
                  <c:v>5030.1747597423901</c:v>
                </c:pt>
                <c:pt idx="6">
                  <c:v>5591.8641256810943</c:v>
                </c:pt>
                <c:pt idx="7">
                  <c:v>5643.2832873427715</c:v>
                </c:pt>
                <c:pt idx="8">
                  <c:v>4906.9929938011192</c:v>
                </c:pt>
                <c:pt idx="9">
                  <c:v>5508.6908403951256</c:v>
                </c:pt>
                <c:pt idx="10">
                  <c:v>3254.436988624258</c:v>
                </c:pt>
                <c:pt idx="11">
                  <c:v>4361.8846276329668</c:v>
                </c:pt>
                <c:pt idx="12">
                  <c:v>7290.4617024746703</c:v>
                </c:pt>
                <c:pt idx="13">
                  <c:v>10484.442361429445</c:v>
                </c:pt>
                <c:pt idx="14">
                  <c:v>5964.9787158032959</c:v>
                </c:pt>
                <c:pt idx="15">
                  <c:v>7257.7117351979332</c:v>
                </c:pt>
                <c:pt idx="16">
                  <c:v>4134.7872043242542</c:v>
                </c:pt>
                <c:pt idx="17">
                  <c:v>8400.9740984383025</c:v>
                </c:pt>
                <c:pt idx="18">
                  <c:v>6283.5150966486372</c:v>
                </c:pt>
                <c:pt idx="19">
                  <c:v>9460.8060122690003</c:v>
                </c:pt>
                <c:pt idx="20">
                  <c:v>11327.756604745153</c:v>
                </c:pt>
                <c:pt idx="21">
                  <c:v>5290.5644020929831</c:v>
                </c:pt>
                <c:pt idx="22">
                  <c:v>4095.9318251376085</c:v>
                </c:pt>
                <c:pt idx="23">
                  <c:v>3803.8652518081276</c:v>
                </c:pt>
                <c:pt idx="24">
                  <c:v>3576.1966780119392</c:v>
                </c:pt>
                <c:pt idx="25">
                  <c:v>8897.5844898008072</c:v>
                </c:pt>
                <c:pt idx="26">
                  <c:v>8082.1815190060061</c:v>
                </c:pt>
                <c:pt idx="27">
                  <c:v>9078.5104943447895</c:v>
                </c:pt>
                <c:pt idx="28">
                  <c:v>16055.874318476461</c:v>
                </c:pt>
                <c:pt idx="29">
                  <c:v>8548.4460792187438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8-4DDF-9D24-FC79E37F8AA4}"/>
            </c:ext>
          </c:extLst>
        </c:ser>
        <c:ser>
          <c:idx val="2"/>
          <c:order val="1"/>
          <c:tx>
            <c:v>Changing Climate 30-year Record</c:v>
          </c:tx>
          <c:spPr>
            <a:ln w="19050">
              <a:noFill/>
            </a:ln>
          </c:spPr>
          <c:xVal>
            <c:numRef>
              <c:f>Calculations!$H$35:$H$64</c:f>
              <c:numCache>
                <c:formatCode>General</c:formatCode>
                <c:ptCount val="30"/>
                <c:pt idx="0">
                  <c:v>0.98140770252324028</c:v>
                </c:pt>
                <c:pt idx="1">
                  <c:v>0.64940239043824699</c:v>
                </c:pt>
                <c:pt idx="2">
                  <c:v>0.38379814077025232</c:v>
                </c:pt>
                <c:pt idx="3">
                  <c:v>0.6826029216467463</c:v>
                </c:pt>
                <c:pt idx="4">
                  <c:v>0.51660026560424965</c:v>
                </c:pt>
                <c:pt idx="5">
                  <c:v>0.74900398406374491</c:v>
                </c:pt>
                <c:pt idx="6">
                  <c:v>0.61620185922974757</c:v>
                </c:pt>
                <c:pt idx="7">
                  <c:v>0.58300132802124827</c:v>
                </c:pt>
                <c:pt idx="8">
                  <c:v>0.7158034528552456</c:v>
                </c:pt>
                <c:pt idx="9">
                  <c:v>0.54980079681274896</c:v>
                </c:pt>
                <c:pt idx="10">
                  <c:v>0.94820717131474097</c:v>
                </c:pt>
                <c:pt idx="11">
                  <c:v>0.84860557768924294</c:v>
                </c:pt>
                <c:pt idx="12">
                  <c:v>0.35059760956175301</c:v>
                </c:pt>
                <c:pt idx="13">
                  <c:v>0.11819389110225763</c:v>
                </c:pt>
                <c:pt idx="14">
                  <c:v>0.45019920318725098</c:v>
                </c:pt>
                <c:pt idx="15">
                  <c:v>0.31739707835325365</c:v>
                </c:pt>
                <c:pt idx="16">
                  <c:v>0.81540504648074363</c:v>
                </c:pt>
                <c:pt idx="17">
                  <c:v>0.28419654714475434</c:v>
                </c:pt>
                <c:pt idx="18">
                  <c:v>0.41699867197875168</c:v>
                </c:pt>
                <c:pt idx="19">
                  <c:v>0.21779548472775562</c:v>
                </c:pt>
                <c:pt idx="20">
                  <c:v>5.1792828685258967E-2</c:v>
                </c:pt>
                <c:pt idx="21">
                  <c:v>0.48339973439575035</c:v>
                </c:pt>
                <c:pt idx="22">
                  <c:v>0.78220451527224433</c:v>
                </c:pt>
                <c:pt idx="23">
                  <c:v>0.88180610889774225</c:v>
                </c:pt>
                <c:pt idx="24">
                  <c:v>0.91500664010624166</c:v>
                </c:pt>
                <c:pt idx="25">
                  <c:v>0.15139442231075695</c:v>
                </c:pt>
                <c:pt idx="26">
                  <c:v>0.25099601593625498</c:v>
                </c:pt>
                <c:pt idx="27">
                  <c:v>8.4993359893758294E-2</c:v>
                </c:pt>
                <c:pt idx="28">
                  <c:v>1.8592297476759629E-2</c:v>
                </c:pt>
                <c:pt idx="29">
                  <c:v>0.18459495351925628</c:v>
                </c:pt>
              </c:numCache>
            </c:numRef>
          </c:xVal>
          <c:yVal>
            <c:numRef>
              <c:f>Calculations!$J$35:$J$64</c:f>
              <c:numCache>
                <c:formatCode>0</c:formatCode>
                <c:ptCount val="30"/>
                <c:pt idx="0">
                  <c:v>2989.0518735718761</c:v>
                </c:pt>
                <c:pt idx="1">
                  <c:v>5945.0706133233271</c:v>
                </c:pt>
                <c:pt idx="2">
                  <c:v>8251.5401910113815</c:v>
                </c:pt>
                <c:pt idx="3">
                  <c:v>5892.1938148868867</c:v>
                </c:pt>
                <c:pt idx="4">
                  <c:v>6415.817960645275</c:v>
                </c:pt>
                <c:pt idx="5">
                  <c:v>5368.4106487595482</c:v>
                </c:pt>
                <c:pt idx="6">
                  <c:v>6043.0697137532898</c:v>
                </c:pt>
                <c:pt idx="7">
                  <c:v>6174.5303002546907</c:v>
                </c:pt>
                <c:pt idx="8">
                  <c:v>5434.9177572721328</c:v>
                </c:pt>
                <c:pt idx="9">
                  <c:v>6175.4323869394966</c:v>
                </c:pt>
                <c:pt idx="10">
                  <c:v>3692.1026526116552</c:v>
                </c:pt>
                <c:pt idx="11">
                  <c:v>5007.1427328931495</c:v>
                </c:pt>
                <c:pt idx="12">
                  <c:v>8466.9913841154012</c:v>
                </c:pt>
                <c:pt idx="13">
                  <c:v>12317.412112203476</c:v>
                </c:pt>
                <c:pt idx="14">
                  <c:v>7088.0402257441847</c:v>
                </c:pt>
                <c:pt idx="15">
                  <c:v>8721.7673783326791</c:v>
                </c:pt>
                <c:pt idx="16">
                  <c:v>5024.4793475995357</c:v>
                </c:pt>
                <c:pt idx="17">
                  <c:v>10321.610590598493</c:v>
                </c:pt>
                <c:pt idx="18">
                  <c:v>7804.5590959063311</c:v>
                </c:pt>
                <c:pt idx="19">
                  <c:v>11878.205065748753</c:v>
                </c:pt>
                <c:pt idx="20">
                  <c:v>14374.532519124861</c:v>
                </c:pt>
                <c:pt idx="21">
                  <c:v>6784.6927625461285</c:v>
                </c:pt>
                <c:pt idx="22">
                  <c:v>5307.7626892645203</c:v>
                </c:pt>
                <c:pt idx="23">
                  <c:v>4980.4401245225645</c:v>
                </c:pt>
                <c:pt idx="24">
                  <c:v>4730.4449851219915</c:v>
                </c:pt>
                <c:pt idx="25">
                  <c:v>11889.013757923471</c:v>
                </c:pt>
                <c:pt idx="26">
                  <c:v>10908.158091513604</c:v>
                </c:pt>
                <c:pt idx="27">
                  <c:v>12374.94896004996</c:v>
                </c:pt>
                <c:pt idx="28">
                  <c:v>22101.741475640658</c:v>
                </c:pt>
                <c:pt idx="29">
                  <c:v>11882.340050114053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D8-4DDF-9D24-FC79E37F8AA4}"/>
            </c:ext>
          </c:extLst>
        </c:ser>
        <c:ser>
          <c:idx val="1"/>
          <c:order val="2"/>
          <c:tx>
            <c:v>Theoretical Distribution (1964-2018)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Calculations!$Z$2:$Z$101</c:f>
              <c:numCache>
                <c:formatCode>General</c:formatCode>
                <c:ptCount val="100"/>
                <c:pt idx="0">
                  <c:v>0.99440671194566521</c:v>
                </c:pt>
                <c:pt idx="1">
                  <c:v>0.98441869756292444</c:v>
                </c:pt>
                <c:pt idx="2">
                  <c:v>0.97443068318018378</c:v>
                </c:pt>
                <c:pt idx="3">
                  <c:v>0.96444266879744311</c:v>
                </c:pt>
                <c:pt idx="4">
                  <c:v>0.95445465441470234</c:v>
                </c:pt>
                <c:pt idx="5">
                  <c:v>0.94446664003196168</c:v>
                </c:pt>
                <c:pt idx="6">
                  <c:v>0.93447862564922091</c:v>
                </c:pt>
                <c:pt idx="7">
                  <c:v>0.92449061126648024</c:v>
                </c:pt>
                <c:pt idx="8">
                  <c:v>0.91450259688373947</c:v>
                </c:pt>
                <c:pt idx="9">
                  <c:v>0.90451458250099881</c:v>
                </c:pt>
                <c:pt idx="10">
                  <c:v>0.89452656811825815</c:v>
                </c:pt>
                <c:pt idx="11">
                  <c:v>0.88453855373551737</c:v>
                </c:pt>
                <c:pt idx="12">
                  <c:v>0.8745505393527766</c:v>
                </c:pt>
                <c:pt idx="13">
                  <c:v>0.86456252497003594</c:v>
                </c:pt>
                <c:pt idx="14">
                  <c:v>0.85457451058729528</c:v>
                </c:pt>
                <c:pt idx="15">
                  <c:v>0.8445864962045545</c:v>
                </c:pt>
                <c:pt idx="16">
                  <c:v>0.83459848182181384</c:v>
                </c:pt>
                <c:pt idx="17">
                  <c:v>0.82461046743907307</c:v>
                </c:pt>
                <c:pt idx="18">
                  <c:v>0.81462245305633241</c:v>
                </c:pt>
                <c:pt idx="19">
                  <c:v>0.80463443867359175</c:v>
                </c:pt>
                <c:pt idx="20">
                  <c:v>0.79464642429085097</c:v>
                </c:pt>
                <c:pt idx="21">
                  <c:v>0.78465840990811031</c:v>
                </c:pt>
                <c:pt idx="22">
                  <c:v>0.77467039552536954</c:v>
                </c:pt>
                <c:pt idx="23">
                  <c:v>0.76468238114262888</c:v>
                </c:pt>
                <c:pt idx="24">
                  <c:v>0.75469436675988821</c:v>
                </c:pt>
                <c:pt idx="25">
                  <c:v>0.74470635237714744</c:v>
                </c:pt>
                <c:pt idx="26">
                  <c:v>0.73471833799440667</c:v>
                </c:pt>
                <c:pt idx="27">
                  <c:v>0.72473032361166601</c:v>
                </c:pt>
                <c:pt idx="28">
                  <c:v>0.71474230922892534</c:v>
                </c:pt>
                <c:pt idx="29">
                  <c:v>0.70475429484618468</c:v>
                </c:pt>
                <c:pt idx="30">
                  <c:v>0.69476628046344391</c:v>
                </c:pt>
                <c:pt idx="31">
                  <c:v>0.68477826608070314</c:v>
                </c:pt>
                <c:pt idx="32">
                  <c:v>0.67479025169796247</c:v>
                </c:pt>
                <c:pt idx="33">
                  <c:v>0.6648022373152217</c:v>
                </c:pt>
                <c:pt idx="34">
                  <c:v>0.65481422293248104</c:v>
                </c:pt>
                <c:pt idx="35">
                  <c:v>0.64482620854974027</c:v>
                </c:pt>
                <c:pt idx="36">
                  <c:v>0.6348381941669996</c:v>
                </c:pt>
                <c:pt idx="37">
                  <c:v>0.62485017978425894</c:v>
                </c:pt>
                <c:pt idx="38">
                  <c:v>0.61486216540151817</c:v>
                </c:pt>
                <c:pt idx="39">
                  <c:v>0.6048741510187774</c:v>
                </c:pt>
                <c:pt idx="40">
                  <c:v>0.59488613663603673</c:v>
                </c:pt>
                <c:pt idx="41">
                  <c:v>0.58489812225329607</c:v>
                </c:pt>
                <c:pt idx="42">
                  <c:v>0.57491010787055541</c:v>
                </c:pt>
                <c:pt idx="43">
                  <c:v>0.56492209348781464</c:v>
                </c:pt>
                <c:pt idx="44">
                  <c:v>0.55493407910507386</c:v>
                </c:pt>
                <c:pt idx="45">
                  <c:v>0.5449460647223332</c:v>
                </c:pt>
                <c:pt idx="46">
                  <c:v>0.53495805033959254</c:v>
                </c:pt>
                <c:pt idx="47">
                  <c:v>0.52497003595685177</c:v>
                </c:pt>
                <c:pt idx="48">
                  <c:v>0.51498202157411099</c:v>
                </c:pt>
                <c:pt idx="49">
                  <c:v>0.50499400719137033</c:v>
                </c:pt>
                <c:pt idx="50">
                  <c:v>0.49500599280862967</c:v>
                </c:pt>
                <c:pt idx="51">
                  <c:v>0.4850179784258889</c:v>
                </c:pt>
                <c:pt idx="52">
                  <c:v>0.47502996404314823</c:v>
                </c:pt>
                <c:pt idx="53">
                  <c:v>0.46504194966040746</c:v>
                </c:pt>
                <c:pt idx="54">
                  <c:v>0.4550539352776668</c:v>
                </c:pt>
                <c:pt idx="55">
                  <c:v>0.44506592089492614</c:v>
                </c:pt>
                <c:pt idx="56">
                  <c:v>0.43507790651218536</c:v>
                </c:pt>
                <c:pt idx="57">
                  <c:v>0.4250898921294447</c:v>
                </c:pt>
                <c:pt idx="58">
                  <c:v>0.41510187774670393</c:v>
                </c:pt>
                <c:pt idx="59">
                  <c:v>0.40511386336396327</c:v>
                </c:pt>
                <c:pt idx="60">
                  <c:v>0.39512584898122249</c:v>
                </c:pt>
                <c:pt idx="61">
                  <c:v>0.38513783459848183</c:v>
                </c:pt>
                <c:pt idx="62">
                  <c:v>0.37514982021574117</c:v>
                </c:pt>
                <c:pt idx="63">
                  <c:v>0.3651618058330004</c:v>
                </c:pt>
                <c:pt idx="64">
                  <c:v>0.35517379145025973</c:v>
                </c:pt>
                <c:pt idx="65">
                  <c:v>0.34518577706751896</c:v>
                </c:pt>
                <c:pt idx="66">
                  <c:v>0.3351977626847783</c:v>
                </c:pt>
                <c:pt idx="67">
                  <c:v>0.32520974830203753</c:v>
                </c:pt>
                <c:pt idx="68">
                  <c:v>0.31522173391929686</c:v>
                </c:pt>
                <c:pt idx="69">
                  <c:v>0.30523371953655609</c:v>
                </c:pt>
                <c:pt idx="70">
                  <c:v>0.29524570515381543</c:v>
                </c:pt>
                <c:pt idx="71">
                  <c:v>0.28525769077107477</c:v>
                </c:pt>
                <c:pt idx="72">
                  <c:v>0.27526967638833399</c:v>
                </c:pt>
                <c:pt idx="73">
                  <c:v>0.26528166200559333</c:v>
                </c:pt>
                <c:pt idx="74">
                  <c:v>0.25529364762285256</c:v>
                </c:pt>
                <c:pt idx="75">
                  <c:v>0.2453056332401119</c:v>
                </c:pt>
                <c:pt idx="76">
                  <c:v>0.23531761885737112</c:v>
                </c:pt>
                <c:pt idx="77">
                  <c:v>0.22532960447463046</c:v>
                </c:pt>
                <c:pt idx="78">
                  <c:v>0.2153415900918898</c:v>
                </c:pt>
                <c:pt idx="79">
                  <c:v>0.20535357570914903</c:v>
                </c:pt>
                <c:pt idx="80">
                  <c:v>0.19536556132640837</c:v>
                </c:pt>
                <c:pt idx="81">
                  <c:v>0.18537754694366759</c:v>
                </c:pt>
                <c:pt idx="82">
                  <c:v>0.17538953256092693</c:v>
                </c:pt>
                <c:pt idx="83">
                  <c:v>0.16540151817818616</c:v>
                </c:pt>
                <c:pt idx="84">
                  <c:v>0.1554135037954455</c:v>
                </c:pt>
                <c:pt idx="85">
                  <c:v>0.14542548941270472</c:v>
                </c:pt>
                <c:pt idx="86">
                  <c:v>0.13543747502996406</c:v>
                </c:pt>
                <c:pt idx="87">
                  <c:v>0.1254494606472234</c:v>
                </c:pt>
                <c:pt idx="88">
                  <c:v>0.11546144626448263</c:v>
                </c:pt>
                <c:pt idx="89">
                  <c:v>0.10547343188174196</c:v>
                </c:pt>
                <c:pt idx="90">
                  <c:v>9.5485417499001191E-2</c:v>
                </c:pt>
                <c:pt idx="91">
                  <c:v>8.5497403116260529E-2</c:v>
                </c:pt>
                <c:pt idx="92">
                  <c:v>7.5509388733519756E-2</c:v>
                </c:pt>
                <c:pt idx="93">
                  <c:v>6.5521374350779094E-2</c:v>
                </c:pt>
                <c:pt idx="94">
                  <c:v>5.5533359968038321E-2</c:v>
                </c:pt>
                <c:pt idx="95">
                  <c:v>4.5545345585297659E-2</c:v>
                </c:pt>
                <c:pt idx="96">
                  <c:v>3.5557331202556997E-2</c:v>
                </c:pt>
                <c:pt idx="97">
                  <c:v>2.5569316819816224E-2</c:v>
                </c:pt>
                <c:pt idx="98">
                  <c:v>1.5581302437075562E-2</c:v>
                </c:pt>
                <c:pt idx="99">
                  <c:v>5.5932880543347885E-3</c:v>
                </c:pt>
              </c:numCache>
            </c:numRef>
          </c:xVal>
          <c:yVal>
            <c:numRef>
              <c:f>Calculations!$AA$2:$AA$101</c:f>
              <c:numCache>
                <c:formatCode>General</c:formatCode>
                <c:ptCount val="100"/>
                <c:pt idx="0">
                  <c:v>1802.773654657323</c:v>
                </c:pt>
                <c:pt idx="1">
                  <c:v>2142.2036864402367</c:v>
                </c:pt>
                <c:pt idx="2">
                  <c:v>2349.7462826817655</c:v>
                </c:pt>
                <c:pt idx="3">
                  <c:v>2509.4806403542448</c:v>
                </c:pt>
                <c:pt idx="4">
                  <c:v>2643.3986609981357</c:v>
                </c:pt>
                <c:pt idx="5">
                  <c:v>2760.8913527442792</c:v>
                </c:pt>
                <c:pt idx="6">
                  <c:v>2866.9250582047562</c:v>
                </c:pt>
                <c:pt idx="7">
                  <c:v>2964.4766175920786</c:v>
                </c:pt>
                <c:pt idx="8">
                  <c:v>3055.4855130285018</c:v>
                </c:pt>
                <c:pt idx="9">
                  <c:v>3141.2933541053717</c:v>
                </c:pt>
                <c:pt idx="10">
                  <c:v>3222.8711832328481</c:v>
                </c:pt>
                <c:pt idx="11">
                  <c:v>3300.9472885330465</c:v>
                </c:pt>
                <c:pt idx="12">
                  <c:v>3376.0838435119163</c:v>
                </c:pt>
                <c:pt idx="13">
                  <c:v>3448.725271364227</c:v>
                </c:pt>
                <c:pt idx="14">
                  <c:v>3519.2300646223448</c:v>
                </c:pt>
                <c:pt idx="15">
                  <c:v>3587.8924586707822</c:v>
                </c:pt>
                <c:pt idx="16">
                  <c:v>3654.9576341125667</c:v>
                </c:pt>
                <c:pt idx="17">
                  <c:v>3720.6326521577748</c:v>
                </c:pt>
                <c:pt idx="18">
                  <c:v>3785.094494750248</c:v>
                </c:pt>
                <c:pt idx="19">
                  <c:v>3848.4960907173522</c:v>
                </c:pt>
                <c:pt idx="20">
                  <c:v>3910.9709100931932</c:v>
                </c:pt>
                <c:pt idx="21">
                  <c:v>3972.6365206916153</c:v>
                </c:pt>
                <c:pt idx="22">
                  <c:v>4033.5973795495984</c:v>
                </c:pt>
                <c:pt idx="23">
                  <c:v>4093.947051539848</c:v>
                </c:pt>
                <c:pt idx="24">
                  <c:v>4153.7699931883499</c:v>
                </c:pt>
                <c:pt idx="25">
                  <c:v>4213.1430023658422</c:v>
                </c:pt>
                <c:pt idx="26">
                  <c:v>4272.1364083396793</c:v>
                </c:pt>
                <c:pt idx="27">
                  <c:v>4330.8150580363954</c:v>
                </c:pt>
                <c:pt idx="28">
                  <c:v>4389.239140908021</c:v>
                </c:pt>
                <c:pt idx="29">
                  <c:v>4447.4648849499408</c:v>
                </c:pt>
                <c:pt idx="30">
                  <c:v>4505.5451491277599</c:v>
                </c:pt>
                <c:pt idx="31">
                  <c:v>4563.5299320135582</c:v>
                </c:pt>
                <c:pt idx="32">
                  <c:v>4621.4668123048486</c:v>
                </c:pt>
                <c:pt idx="33">
                  <c:v>4679.4013337510305</c:v>
                </c:pt>
                <c:pt idx="34">
                  <c:v>4737.3773445895185</c:v>
                </c:pt>
                <c:pt idx="35">
                  <c:v>4795.4372997169285</c:v>
                </c:pt>
                <c:pt idx="36">
                  <c:v>4853.6225323572417</c:v>
                </c:pt>
                <c:pt idx="37">
                  <c:v>4911.9735008427751</c:v>
                </c:pt>
                <c:pt idx="38">
                  <c:v>4970.5300152226037</c:v>
                </c:pt>
                <c:pt idx="39">
                  <c:v>5029.3314477038148</c:v>
                </c:pt>
                <c:pt idx="40">
                  <c:v>5088.4169303732742</c:v>
                </c:pt>
                <c:pt idx="41">
                  <c:v>5147.8255432114311</c:v>
                </c:pt>
                <c:pt idx="42">
                  <c:v>5207.5964950711477</c:v>
                </c:pt>
                <c:pt idx="43">
                  <c:v>5267.7693000385334</c:v>
                </c:pt>
                <c:pt idx="44">
                  <c:v>5328.3839514032979</c:v>
                </c:pt>
                <c:pt idx="45">
                  <c:v>5389.4810953366023</c:v>
                </c:pt>
                <c:pt idx="46">
                  <c:v>5451.1022062958045</c:v>
                </c:pt>
                <c:pt idx="47">
                  <c:v>5513.2897661442166</c:v>
                </c:pt>
                <c:pt idx="48">
                  <c:v>5576.0874489870994</c:v>
                </c:pt>
                <c:pt idx="49">
                  <c:v>5639.5403137813137</c:v>
                </c:pt>
                <c:pt idx="50">
                  <c:v>5703.6950068760088</c:v>
                </c:pt>
                <c:pt idx="51">
                  <c:v>5768.5999767872099</c:v>
                </c:pt>
                <c:pt idx="52">
                  <c:v>5834.3057037044246</c:v>
                </c:pt>
                <c:pt idx="53">
                  <c:v>5900.864946476283</c:v>
                </c:pt>
                <c:pt idx="54">
                  <c:v>5968.3330101339707</c:v>
                </c:pt>
                <c:pt idx="55">
                  <c:v>6036.7680373932235</c:v>
                </c:pt>
                <c:pt idx="56">
                  <c:v>6106.231328041481</c:v>
                </c:pt>
                <c:pt idx="57">
                  <c:v>6176.787690681268</c:v>
                </c:pt>
                <c:pt idx="58">
                  <c:v>6248.5058319835352</c:v>
                </c:pt>
                <c:pt idx="59">
                  <c:v>6321.4587894295728</c:v>
                </c:pt>
                <c:pt idx="60">
                  <c:v>6395.7244145196</c:v>
                </c:pt>
                <c:pt idx="61">
                  <c:v>6471.3859146366876</c:v>
                </c:pt>
                <c:pt idx="62">
                  <c:v>6548.5324632291877</c:v>
                </c:pt>
                <c:pt idx="63">
                  <c:v>6627.2598897731714</c:v>
                </c:pt>
                <c:pt idx="64">
                  <c:v>6707.6714631821351</c:v>
                </c:pt>
                <c:pt idx="65">
                  <c:v>6789.8787850469516</c:v>
                </c:pt>
                <c:pt idx="66">
                  <c:v>6874.0028124507626</c:v>
                </c:pt>
                <c:pt idx="67">
                  <c:v>6960.1750342870655</c:v>
                </c:pt>
                <c:pt idx="68">
                  <c:v>7048.5388302466536</c:v>
                </c:pt>
                <c:pt idx="69">
                  <c:v>7139.2510482372099</c:v>
                </c:pt>
                <c:pt idx="70">
                  <c:v>7232.4838443671024</c:v>
                </c:pt>
                <c:pt idx="71">
                  <c:v>7328.4268403147598</c:v>
                </c:pt>
                <c:pt idx="72">
                  <c:v>7427.2896666648921</c:v>
                </c:pt>
                <c:pt idx="73">
                  <c:v>7529.3049786515357</c:v>
                </c:pt>
                <c:pt idx="74">
                  <c:v>7634.732054128679</c:v>
                </c:pt>
                <c:pt idx="75">
                  <c:v>7743.86111449091</c:v>
                </c:pt>
                <c:pt idx="76">
                  <c:v>7857.0185505188256</c:v>
                </c:pt>
                <c:pt idx="77">
                  <c:v>7974.5732907983484</c:v>
                </c:pt>
                <c:pt idx="78">
                  <c:v>8096.9446263839072</c:v>
                </c:pt>
                <c:pt idx="79">
                  <c:v>8224.6119105048419</c:v>
                </c:pt>
                <c:pt idx="80">
                  <c:v>8358.126699511542</c:v>
                </c:pt>
                <c:pt idx="81">
                  <c:v>8498.1281110428026</c:v>
                </c:pt>
                <c:pt idx="82">
                  <c:v>8645.3624789148944</c:v>
                </c:pt>
                <c:pt idx="83">
                  <c:v>8800.70883136255</c:v>
                </c:pt>
                <c:pt idx="84">
                  <c:v>8965.2123912061616</c:v>
                </c:pt>
                <c:pt idx="85">
                  <c:v>9140.1293288969027</c:v>
                </c:pt>
                <c:pt idx="86">
                  <c:v>9326.9876252179129</c:v>
                </c:pt>
                <c:pt idx="87">
                  <c:v>9527.6715329824438</c:v>
                </c:pt>
                <c:pt idx="88">
                  <c:v>9744.5415261644994</c:v>
                </c:pt>
                <c:pt idx="89">
                  <c:v>9980.6092456120587</c:v>
                </c:pt>
                <c:pt idx="90">
                  <c:v>10239.80071353484</c:v>
                </c:pt>
                <c:pt idx="91">
                  <c:v>10527.36718653535</c:v>
                </c:pt>
                <c:pt idx="92">
                  <c:v>10850.555453163834</c:v>
                </c:pt>
                <c:pt idx="93">
                  <c:v>11219.762385045608</c:v>
                </c:pt>
                <c:pt idx="94">
                  <c:v>11650.664158449323</c:v>
                </c:pt>
                <c:pt idx="95">
                  <c:v>12168.508066295462</c:v>
                </c:pt>
                <c:pt idx="96">
                  <c:v>12817.878493077244</c:v>
                </c:pt>
                <c:pt idx="97">
                  <c:v>13689.230265354056</c:v>
                </c:pt>
                <c:pt idx="98">
                  <c:v>15015.480615777455</c:v>
                </c:pt>
                <c:pt idx="99">
                  <c:v>17842.627024025747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D8-4DDF-9D24-FC79E37F8AA4}"/>
            </c:ext>
          </c:extLst>
        </c:ser>
        <c:ser>
          <c:idx val="3"/>
          <c:order val="3"/>
          <c:tx>
            <c:v>SF Tolt Observed (1964-2018)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</c:spPr>
          </c:marker>
          <c:xVal>
            <c:numRef>
              <c:f>Calculations!$AG$2:$AG$56</c:f>
              <c:numCache>
                <c:formatCode>General</c:formatCode>
                <c:ptCount val="55"/>
                <c:pt idx="0">
                  <c:v>0.99360000000000004</c:v>
                </c:pt>
                <c:pt idx="1">
                  <c:v>0.97549999999999992</c:v>
                </c:pt>
                <c:pt idx="2">
                  <c:v>0.95730000000000004</c:v>
                </c:pt>
                <c:pt idx="3">
                  <c:v>0.93909999999999993</c:v>
                </c:pt>
                <c:pt idx="4">
                  <c:v>0.92090000000000005</c:v>
                </c:pt>
                <c:pt idx="5">
                  <c:v>0.90269999999999995</c:v>
                </c:pt>
                <c:pt idx="6">
                  <c:v>0.88450000000000006</c:v>
                </c:pt>
                <c:pt idx="7">
                  <c:v>0.86640000000000006</c:v>
                </c:pt>
                <c:pt idx="8">
                  <c:v>0.84819999999999995</c:v>
                </c:pt>
                <c:pt idx="9">
                  <c:v>0.83</c:v>
                </c:pt>
                <c:pt idx="10">
                  <c:v>0.81180000000000008</c:v>
                </c:pt>
                <c:pt idx="11">
                  <c:v>0.79359999999999997</c:v>
                </c:pt>
                <c:pt idx="12">
                  <c:v>0.77549999999999997</c:v>
                </c:pt>
                <c:pt idx="13">
                  <c:v>0.75730000000000008</c:v>
                </c:pt>
                <c:pt idx="14">
                  <c:v>0.73909999999999998</c:v>
                </c:pt>
                <c:pt idx="15">
                  <c:v>0.72089999999999999</c:v>
                </c:pt>
                <c:pt idx="16">
                  <c:v>0.70269999999999999</c:v>
                </c:pt>
                <c:pt idx="17">
                  <c:v>0.6845</c:v>
                </c:pt>
                <c:pt idx="18">
                  <c:v>0.66639999999999999</c:v>
                </c:pt>
                <c:pt idx="19">
                  <c:v>0.64819999999999989</c:v>
                </c:pt>
                <c:pt idx="20">
                  <c:v>0.63</c:v>
                </c:pt>
                <c:pt idx="21">
                  <c:v>0.61180000000000001</c:v>
                </c:pt>
                <c:pt idx="22">
                  <c:v>0.59360000000000002</c:v>
                </c:pt>
                <c:pt idx="23">
                  <c:v>0.57550000000000001</c:v>
                </c:pt>
                <c:pt idx="24">
                  <c:v>0.55730000000000002</c:v>
                </c:pt>
                <c:pt idx="25">
                  <c:v>0.53909999999999991</c:v>
                </c:pt>
                <c:pt idx="26">
                  <c:v>0.52090000000000003</c:v>
                </c:pt>
                <c:pt idx="27">
                  <c:v>0.50270000000000004</c:v>
                </c:pt>
                <c:pt idx="28">
                  <c:v>0.48450000000000004</c:v>
                </c:pt>
                <c:pt idx="29">
                  <c:v>0.46639999999999998</c:v>
                </c:pt>
                <c:pt idx="30">
                  <c:v>0.44819999999999999</c:v>
                </c:pt>
                <c:pt idx="31">
                  <c:v>0.43</c:v>
                </c:pt>
                <c:pt idx="32">
                  <c:v>0.4118</c:v>
                </c:pt>
                <c:pt idx="33">
                  <c:v>0.39360000000000001</c:v>
                </c:pt>
                <c:pt idx="34">
                  <c:v>0.37549999999999994</c:v>
                </c:pt>
                <c:pt idx="35">
                  <c:v>0.35729999999999995</c:v>
                </c:pt>
                <c:pt idx="36">
                  <c:v>0.33909999999999996</c:v>
                </c:pt>
                <c:pt idx="37">
                  <c:v>0.32090000000000002</c:v>
                </c:pt>
                <c:pt idx="38">
                  <c:v>0.30269999999999997</c:v>
                </c:pt>
                <c:pt idx="39">
                  <c:v>0.28449999999999998</c:v>
                </c:pt>
                <c:pt idx="40">
                  <c:v>0.26640000000000003</c:v>
                </c:pt>
                <c:pt idx="41">
                  <c:v>0.2482</c:v>
                </c:pt>
                <c:pt idx="42">
                  <c:v>0.23</c:v>
                </c:pt>
                <c:pt idx="43">
                  <c:v>0.21179999999999999</c:v>
                </c:pt>
                <c:pt idx="44">
                  <c:v>0.19359999999999999</c:v>
                </c:pt>
                <c:pt idx="45">
                  <c:v>0.17550000000000002</c:v>
                </c:pt>
                <c:pt idx="46">
                  <c:v>0.1573</c:v>
                </c:pt>
                <c:pt idx="47">
                  <c:v>0.1391</c:v>
                </c:pt>
                <c:pt idx="48">
                  <c:v>0.12089999999999999</c:v>
                </c:pt>
                <c:pt idx="49">
                  <c:v>0.1027</c:v>
                </c:pt>
                <c:pt idx="50">
                  <c:v>8.4499999999999992E-2</c:v>
                </c:pt>
                <c:pt idx="51">
                  <c:v>6.6400000000000001E-2</c:v>
                </c:pt>
                <c:pt idx="52">
                  <c:v>4.82E-2</c:v>
                </c:pt>
                <c:pt idx="53">
                  <c:v>0.03</c:v>
                </c:pt>
                <c:pt idx="54">
                  <c:v>1.18E-2</c:v>
                </c:pt>
              </c:numCache>
            </c:numRef>
          </c:xVal>
          <c:yVal>
            <c:numRef>
              <c:f>Calculations!$AH$2:$AH$56</c:f>
              <c:numCache>
                <c:formatCode>General</c:formatCode>
                <c:ptCount val="55"/>
                <c:pt idx="0">
                  <c:v>2260</c:v>
                </c:pt>
                <c:pt idx="1">
                  <c:v>2630</c:v>
                </c:pt>
                <c:pt idx="2">
                  <c:v>2640</c:v>
                </c:pt>
                <c:pt idx="3">
                  <c:v>2880</c:v>
                </c:pt>
                <c:pt idx="4">
                  <c:v>3020</c:v>
                </c:pt>
                <c:pt idx="5">
                  <c:v>3170</c:v>
                </c:pt>
                <c:pt idx="6">
                  <c:v>3230</c:v>
                </c:pt>
                <c:pt idx="7">
                  <c:v>3250</c:v>
                </c:pt>
                <c:pt idx="8">
                  <c:v>3320</c:v>
                </c:pt>
                <c:pt idx="9">
                  <c:v>3550</c:v>
                </c:pt>
                <c:pt idx="10">
                  <c:v>3600</c:v>
                </c:pt>
                <c:pt idx="11">
                  <c:v>3640</c:v>
                </c:pt>
                <c:pt idx="12">
                  <c:v>3650</c:v>
                </c:pt>
                <c:pt idx="13">
                  <c:v>3780</c:v>
                </c:pt>
                <c:pt idx="14">
                  <c:v>3880</c:v>
                </c:pt>
                <c:pt idx="15">
                  <c:v>3960</c:v>
                </c:pt>
                <c:pt idx="16">
                  <c:v>4130</c:v>
                </c:pt>
                <c:pt idx="17">
                  <c:v>4210</c:v>
                </c:pt>
                <c:pt idx="18">
                  <c:v>4290</c:v>
                </c:pt>
                <c:pt idx="19">
                  <c:v>4750</c:v>
                </c:pt>
                <c:pt idx="20">
                  <c:v>5070</c:v>
                </c:pt>
                <c:pt idx="21">
                  <c:v>5130</c:v>
                </c:pt>
                <c:pt idx="22">
                  <c:v>5340</c:v>
                </c:pt>
                <c:pt idx="23">
                  <c:v>5350</c:v>
                </c:pt>
                <c:pt idx="24">
                  <c:v>5690</c:v>
                </c:pt>
                <c:pt idx="25">
                  <c:v>5730</c:v>
                </c:pt>
                <c:pt idx="26">
                  <c:v>5740</c:v>
                </c:pt>
                <c:pt idx="27">
                  <c:v>6020</c:v>
                </c:pt>
                <c:pt idx="28">
                  <c:v>6030</c:v>
                </c:pt>
                <c:pt idx="29">
                  <c:v>6250</c:v>
                </c:pt>
                <c:pt idx="30">
                  <c:v>6300</c:v>
                </c:pt>
                <c:pt idx="31">
                  <c:v>6370</c:v>
                </c:pt>
                <c:pt idx="32">
                  <c:v>6500</c:v>
                </c:pt>
                <c:pt idx="33">
                  <c:v>6780</c:v>
                </c:pt>
                <c:pt idx="34">
                  <c:v>6900</c:v>
                </c:pt>
                <c:pt idx="35">
                  <c:v>6920</c:v>
                </c:pt>
                <c:pt idx="36">
                  <c:v>7120</c:v>
                </c:pt>
                <c:pt idx="37">
                  <c:v>7120</c:v>
                </c:pt>
                <c:pt idx="38">
                  <c:v>7320</c:v>
                </c:pt>
                <c:pt idx="39">
                  <c:v>7580</c:v>
                </c:pt>
                <c:pt idx="40">
                  <c:v>7630</c:v>
                </c:pt>
                <c:pt idx="41">
                  <c:v>7720</c:v>
                </c:pt>
                <c:pt idx="42">
                  <c:v>8140</c:v>
                </c:pt>
                <c:pt idx="43">
                  <c:v>8380</c:v>
                </c:pt>
                <c:pt idx="44">
                  <c:v>8560</c:v>
                </c:pt>
                <c:pt idx="45">
                  <c:v>9060</c:v>
                </c:pt>
                <c:pt idx="46">
                  <c:v>9340</c:v>
                </c:pt>
                <c:pt idx="47">
                  <c:v>9890</c:v>
                </c:pt>
                <c:pt idx="48">
                  <c:v>10300</c:v>
                </c:pt>
                <c:pt idx="49">
                  <c:v>10500</c:v>
                </c:pt>
                <c:pt idx="50">
                  <c:v>11100</c:v>
                </c:pt>
                <c:pt idx="51">
                  <c:v>11200</c:v>
                </c:pt>
                <c:pt idx="52">
                  <c:v>11400</c:v>
                </c:pt>
                <c:pt idx="53">
                  <c:v>11800</c:v>
                </c:pt>
                <c:pt idx="54">
                  <c:v>13800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D8-4DDF-9D24-FC79E37F8AA4}"/>
            </c:ext>
          </c:extLst>
        </c:ser>
        <c:ser>
          <c:idx val="4"/>
          <c:order val="4"/>
          <c:tx>
            <c:v>30-year Hindcast Period</c:v>
          </c:tx>
          <c:spPr>
            <a:ln w="19050">
              <a:noFill/>
            </a:ln>
          </c:spPr>
          <c:marker>
            <c:symbol val="squar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Calculations!$U$35:$U$64</c:f>
              <c:numCache>
                <c:formatCode>0.00</c:formatCode>
                <c:ptCount val="30"/>
                <c:pt idx="0">
                  <c:v>0.31739707835325365</c:v>
                </c:pt>
                <c:pt idx="1">
                  <c:v>0.11819389110225763</c:v>
                </c:pt>
                <c:pt idx="2">
                  <c:v>0.88180610889774225</c:v>
                </c:pt>
                <c:pt idx="3">
                  <c:v>0.21779548472775562</c:v>
                </c:pt>
                <c:pt idx="4">
                  <c:v>0.98140770252324028</c:v>
                </c:pt>
                <c:pt idx="5">
                  <c:v>0.45019920318725098</c:v>
                </c:pt>
                <c:pt idx="6">
                  <c:v>8.4993359893758294E-2</c:v>
                </c:pt>
                <c:pt idx="7">
                  <c:v>0.35059760956175301</c:v>
                </c:pt>
                <c:pt idx="8">
                  <c:v>0.81540504648074363</c:v>
                </c:pt>
                <c:pt idx="9">
                  <c:v>0.64940239043824699</c:v>
                </c:pt>
                <c:pt idx="10">
                  <c:v>5.1792828685258967E-2</c:v>
                </c:pt>
                <c:pt idx="11">
                  <c:v>0.94820717131474097</c:v>
                </c:pt>
                <c:pt idx="12">
                  <c:v>0.61620185922974757</c:v>
                </c:pt>
                <c:pt idx="13">
                  <c:v>0.7158034528552456</c:v>
                </c:pt>
                <c:pt idx="14">
                  <c:v>0.15139442231075695</c:v>
                </c:pt>
                <c:pt idx="15">
                  <c:v>0.28419654714475434</c:v>
                </c:pt>
                <c:pt idx="16">
                  <c:v>0.74900398406374491</c:v>
                </c:pt>
                <c:pt idx="17">
                  <c:v>0.18459495351925628</c:v>
                </c:pt>
                <c:pt idx="18">
                  <c:v>0.48339973439575035</c:v>
                </c:pt>
                <c:pt idx="19">
                  <c:v>1.8592297476759629E-2</c:v>
                </c:pt>
                <c:pt idx="20">
                  <c:v>0.78220451527224433</c:v>
                </c:pt>
                <c:pt idx="21">
                  <c:v>0.38379814077025232</c:v>
                </c:pt>
                <c:pt idx="22">
                  <c:v>0.51660026560424965</c:v>
                </c:pt>
                <c:pt idx="23">
                  <c:v>0.91500664010624166</c:v>
                </c:pt>
                <c:pt idx="24">
                  <c:v>0.54980079681274896</c:v>
                </c:pt>
                <c:pt idx="25">
                  <c:v>0.25099601593625498</c:v>
                </c:pt>
                <c:pt idx="26">
                  <c:v>0.58300132802124827</c:v>
                </c:pt>
                <c:pt idx="27">
                  <c:v>0.84860557768924294</c:v>
                </c:pt>
                <c:pt idx="28">
                  <c:v>0.6826029216467463</c:v>
                </c:pt>
                <c:pt idx="29">
                  <c:v>0.41699867197875168</c:v>
                </c:pt>
              </c:numCache>
            </c:numRef>
          </c:xVal>
          <c:yVal>
            <c:numRef>
              <c:f>Calculations!$V$35:$V$64</c:f>
              <c:numCache>
                <c:formatCode>General</c:formatCode>
                <c:ptCount val="30"/>
                <c:pt idx="0">
                  <c:v>7630</c:v>
                </c:pt>
                <c:pt idx="1">
                  <c:v>11200</c:v>
                </c:pt>
                <c:pt idx="2">
                  <c:v>3230</c:v>
                </c:pt>
                <c:pt idx="3">
                  <c:v>9890</c:v>
                </c:pt>
                <c:pt idx="4">
                  <c:v>2630</c:v>
                </c:pt>
                <c:pt idx="5">
                  <c:v>6780</c:v>
                </c:pt>
                <c:pt idx="6">
                  <c:v>11400</c:v>
                </c:pt>
                <c:pt idx="7">
                  <c:v>7320</c:v>
                </c:pt>
                <c:pt idx="8">
                  <c:v>3600</c:v>
                </c:pt>
                <c:pt idx="9">
                  <c:v>5130</c:v>
                </c:pt>
                <c:pt idx="10">
                  <c:v>11800</c:v>
                </c:pt>
                <c:pt idx="11">
                  <c:v>2640</c:v>
                </c:pt>
                <c:pt idx="12">
                  <c:v>5340</c:v>
                </c:pt>
                <c:pt idx="13">
                  <c:v>4130</c:v>
                </c:pt>
                <c:pt idx="14">
                  <c:v>11100</c:v>
                </c:pt>
                <c:pt idx="15">
                  <c:v>9060</c:v>
                </c:pt>
                <c:pt idx="16">
                  <c:v>3880</c:v>
                </c:pt>
                <c:pt idx="17">
                  <c:v>10500</c:v>
                </c:pt>
                <c:pt idx="18">
                  <c:v>6370</c:v>
                </c:pt>
                <c:pt idx="19">
                  <c:v>13800</c:v>
                </c:pt>
                <c:pt idx="20">
                  <c:v>3650</c:v>
                </c:pt>
                <c:pt idx="21">
                  <c:v>7120</c:v>
                </c:pt>
                <c:pt idx="22">
                  <c:v>6300</c:v>
                </c:pt>
                <c:pt idx="23">
                  <c:v>3170</c:v>
                </c:pt>
                <c:pt idx="24">
                  <c:v>5740</c:v>
                </c:pt>
                <c:pt idx="25">
                  <c:v>9340</c:v>
                </c:pt>
                <c:pt idx="26">
                  <c:v>5350</c:v>
                </c:pt>
                <c:pt idx="27">
                  <c:v>3550</c:v>
                </c:pt>
                <c:pt idx="28">
                  <c:v>4730</c:v>
                </c:pt>
                <c:pt idx="29">
                  <c:v>7050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3-45A2-83A5-E3B7E2306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74984"/>
        <c:axId val="180508392"/>
      </c:scatterChart>
      <c:valAx>
        <c:axId val="180074984"/>
        <c:scaling>
          <c:logBase val="10"/>
          <c:orientation val="maxMin"/>
          <c:max val="1"/>
          <c:min val="1.0000000000000002E-2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 of Exceedence</a:t>
                </a:r>
              </a:p>
            </c:rich>
          </c:tx>
          <c:overlay val="0"/>
        </c:title>
        <c:numFmt formatCode="0.00" sourceLinked="0"/>
        <c:majorTickMark val="out"/>
        <c:minorTickMark val="in"/>
        <c:tickLblPos val="nextTo"/>
        <c:spPr>
          <a:ln/>
        </c:spPr>
        <c:crossAx val="180508392"/>
        <c:crosses val="autoZero"/>
        <c:crossBetween val="midCat"/>
      </c:valAx>
      <c:valAx>
        <c:axId val="180508392"/>
        <c:scaling>
          <c:orientation val="minMax"/>
          <c:max val="30000"/>
          <c:min val="0"/>
        </c:scaling>
        <c:delete val="0"/>
        <c:axPos val="r"/>
        <c:majorGridlines/>
        <c:min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(cfs)</a:t>
                </a:r>
              </a:p>
            </c:rich>
          </c:tx>
          <c:layout>
            <c:manualLayout>
              <c:xMode val="edge"/>
              <c:yMode val="edge"/>
              <c:x val="8.0021581884704863E-3"/>
              <c:y val="0.41762580204715183"/>
            </c:manualLayout>
          </c:layout>
          <c:overlay val="0"/>
        </c:title>
        <c:numFmt formatCode="0" sourceLinked="1"/>
        <c:majorTickMark val="out"/>
        <c:minorTickMark val="none"/>
        <c:tickLblPos val="high"/>
        <c:txPr>
          <a:bodyPr rot="0" anchor="ctr" anchorCtr="0"/>
          <a:lstStyle/>
          <a:p>
            <a:pPr>
              <a:defRPr/>
            </a:pPr>
            <a:endParaRPr lang="en-US"/>
          </a:p>
        </c:txPr>
        <c:crossAx val="180074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0634497341138973E-2"/>
          <c:y val="4.5201370918266141E-2"/>
          <c:w val="0.23732354126960087"/>
          <c:h val="0.1877768783574950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Bedload Versus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15428173489053743"/>
                  <c:y val="0.290243636130888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Calculations!$M$37:$M$41</c:f>
              <c:numCache>
                <c:formatCode>General</c:formatCode>
                <c:ptCount val="5"/>
                <c:pt idx="0">
                  <c:v>5000</c:v>
                </c:pt>
                <c:pt idx="1">
                  <c:v>5700</c:v>
                </c:pt>
                <c:pt idx="2">
                  <c:v>10000</c:v>
                </c:pt>
                <c:pt idx="3">
                  <c:v>12000</c:v>
                </c:pt>
                <c:pt idx="4">
                  <c:v>30000</c:v>
                </c:pt>
              </c:numCache>
            </c:numRef>
          </c:xVal>
          <c:yVal>
            <c:numRef>
              <c:f>Calculations!$N$37:$N$41</c:f>
              <c:numCache>
                <c:formatCode>General</c:formatCode>
                <c:ptCount val="5"/>
                <c:pt idx="0">
                  <c:v>967</c:v>
                </c:pt>
                <c:pt idx="1">
                  <c:v>1200</c:v>
                </c:pt>
                <c:pt idx="2">
                  <c:v>7518</c:v>
                </c:pt>
                <c:pt idx="3">
                  <c:v>12888</c:v>
                </c:pt>
                <c:pt idx="4">
                  <c:v>193322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6-46FA-B001-C4C276CD66E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forward val="20000"/>
            <c:dispRSqr val="0"/>
            <c:dispEq val="1"/>
            <c:trendlineLbl>
              <c:layout>
                <c:manualLayout>
                  <c:x val="-5.5600819054745426E-2"/>
                  <c:y val="0.69851943907764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Calculations!$Q$35:$Q$43</c:f>
              <c:numCache>
                <c:formatCode>General</c:formatCode>
                <c:ptCount val="9"/>
                <c:pt idx="0">
                  <c:v>1915</c:v>
                </c:pt>
                <c:pt idx="1">
                  <c:v>5714</c:v>
                </c:pt>
                <c:pt idx="2">
                  <c:v>8311</c:v>
                </c:pt>
                <c:pt idx="3">
                  <c:v>10066</c:v>
                </c:pt>
                <c:pt idx="4">
                  <c:v>12309</c:v>
                </c:pt>
                <c:pt idx="5">
                  <c:v>13993</c:v>
                </c:pt>
                <c:pt idx="6">
                  <c:v>15685</c:v>
                </c:pt>
                <c:pt idx="7">
                  <c:v>17500</c:v>
                </c:pt>
                <c:pt idx="8">
                  <c:v>19699</c:v>
                </c:pt>
              </c:numCache>
            </c:numRef>
          </c:xVal>
          <c:yVal>
            <c:numRef>
              <c:f>Calculations!$R$35:$R$43</c:f>
              <c:numCache>
                <c:formatCode>0</c:formatCode>
                <c:ptCount val="9"/>
                <c:pt idx="0">
                  <c:v>100.72365126600376</c:v>
                </c:pt>
                <c:pt idx="1">
                  <c:v>1295.416818333021</c:v>
                </c:pt>
                <c:pt idx="2">
                  <c:v>3568.5755520716434</c:v>
                </c:pt>
                <c:pt idx="3">
                  <c:v>3938.765144462031</c:v>
                </c:pt>
                <c:pt idx="4">
                  <c:v>8808.8523212699074</c:v>
                </c:pt>
                <c:pt idx="5">
                  <c:v>20801.727246018407</c:v>
                </c:pt>
                <c:pt idx="6">
                  <c:v>21400.845257171684</c:v>
                </c:pt>
                <c:pt idx="7">
                  <c:v>30127.45498858835</c:v>
                </c:pt>
                <c:pt idx="8">
                  <c:v>44025.303939636957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16-46FA-B001-C4C276CD6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32000"/>
        <c:axId val="180222088"/>
      </c:scatterChart>
      <c:valAx>
        <c:axId val="181032000"/>
        <c:scaling>
          <c:orientation val="minMax"/>
          <c:max val="3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22088"/>
        <c:crosses val="autoZero"/>
        <c:crossBetween val="midCat"/>
      </c:valAx>
      <c:valAx>
        <c:axId val="1802220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3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Histogram of Bedload Delivery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415799534391146"/>
          <c:y val="0.12426000554814176"/>
          <c:w val="0.86394605078957853"/>
          <c:h val="0.68534758084974934"/>
        </c:manualLayout>
      </c:layout>
      <c:barChart>
        <c:barDir val="col"/>
        <c:grouping val="clustered"/>
        <c:varyColors val="0"/>
        <c:ser>
          <c:idx val="1"/>
          <c:order val="0"/>
          <c:tx>
            <c:v>Historical Hydrology</c:v>
          </c:tx>
          <c:invertIfNegative val="0"/>
          <c:cat>
            <c:strRef>
              <c:f>MonteCarlo!$J$3:$J$33</c:f>
              <c:strCache>
                <c:ptCount val="31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  <c:pt idx="30">
                  <c:v>More</c:v>
                </c:pt>
              </c:strCache>
            </c:strRef>
          </c:cat>
          <c:val>
            <c:numRef>
              <c:f>MonteCarlo!$K$3:$K$33</c:f>
              <c:numCache>
                <c:formatCode>General</c:formatCode>
                <c:ptCount val="31"/>
                <c:pt idx="0">
                  <c:v>0</c:v>
                </c:pt>
                <c:pt idx="1">
                  <c:v>12</c:v>
                </c:pt>
                <c:pt idx="2">
                  <c:v>136</c:v>
                </c:pt>
                <c:pt idx="3">
                  <c:v>450</c:v>
                </c:pt>
                <c:pt idx="4">
                  <c:v>696</c:v>
                </c:pt>
                <c:pt idx="5">
                  <c:v>860</c:v>
                </c:pt>
                <c:pt idx="6">
                  <c:v>760</c:v>
                </c:pt>
                <c:pt idx="7">
                  <c:v>654</c:v>
                </c:pt>
                <c:pt idx="8">
                  <c:v>434</c:v>
                </c:pt>
                <c:pt idx="9">
                  <c:v>306</c:v>
                </c:pt>
                <c:pt idx="10">
                  <c:v>211</c:v>
                </c:pt>
                <c:pt idx="11">
                  <c:v>139</c:v>
                </c:pt>
                <c:pt idx="12">
                  <c:v>116</c:v>
                </c:pt>
                <c:pt idx="13">
                  <c:v>63</c:v>
                </c:pt>
                <c:pt idx="14">
                  <c:v>42</c:v>
                </c:pt>
                <c:pt idx="15">
                  <c:v>29</c:v>
                </c:pt>
                <c:pt idx="16">
                  <c:v>28</c:v>
                </c:pt>
                <c:pt idx="17">
                  <c:v>21</c:v>
                </c:pt>
                <c:pt idx="18">
                  <c:v>12</c:v>
                </c:pt>
                <c:pt idx="19">
                  <c:v>7</c:v>
                </c:pt>
                <c:pt idx="20">
                  <c:v>5</c:v>
                </c:pt>
                <c:pt idx="21">
                  <c:v>3</c:v>
                </c:pt>
                <c:pt idx="22">
                  <c:v>3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8-48DB-8C0A-765D9104A0F1}"/>
            </c:ext>
          </c:extLst>
        </c:ser>
        <c:ser>
          <c:idx val="0"/>
          <c:order val="1"/>
          <c:tx>
            <c:v>Future Hydrology</c:v>
          </c:tx>
          <c:invertIfNegative val="0"/>
          <c:cat>
            <c:strRef>
              <c:f>MonteCarlo!$J$36:$J$66</c:f>
              <c:strCache>
                <c:ptCount val="31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  <c:pt idx="30">
                  <c:v>More</c:v>
                </c:pt>
              </c:strCache>
            </c:strRef>
          </c:cat>
          <c:val>
            <c:numRef>
              <c:f>MonteCarlo!$K$36:$K$66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54</c:v>
                </c:pt>
                <c:pt idx="5">
                  <c:v>95</c:v>
                </c:pt>
                <c:pt idx="6">
                  <c:v>214</c:v>
                </c:pt>
                <c:pt idx="7">
                  <c:v>335</c:v>
                </c:pt>
                <c:pt idx="8">
                  <c:v>382</c:v>
                </c:pt>
                <c:pt idx="9">
                  <c:v>460</c:v>
                </c:pt>
                <c:pt idx="10">
                  <c:v>486</c:v>
                </c:pt>
                <c:pt idx="11">
                  <c:v>474</c:v>
                </c:pt>
                <c:pt idx="12">
                  <c:v>443</c:v>
                </c:pt>
                <c:pt idx="13">
                  <c:v>367</c:v>
                </c:pt>
                <c:pt idx="14">
                  <c:v>337</c:v>
                </c:pt>
                <c:pt idx="15">
                  <c:v>275</c:v>
                </c:pt>
                <c:pt idx="16">
                  <c:v>180</c:v>
                </c:pt>
                <c:pt idx="17">
                  <c:v>153</c:v>
                </c:pt>
                <c:pt idx="18">
                  <c:v>144</c:v>
                </c:pt>
                <c:pt idx="19">
                  <c:v>124</c:v>
                </c:pt>
                <c:pt idx="20">
                  <c:v>78</c:v>
                </c:pt>
                <c:pt idx="21">
                  <c:v>80</c:v>
                </c:pt>
                <c:pt idx="22">
                  <c:v>62</c:v>
                </c:pt>
                <c:pt idx="23">
                  <c:v>45</c:v>
                </c:pt>
                <c:pt idx="24">
                  <c:v>34</c:v>
                </c:pt>
                <c:pt idx="25">
                  <c:v>29</c:v>
                </c:pt>
                <c:pt idx="26">
                  <c:v>29</c:v>
                </c:pt>
                <c:pt idx="27">
                  <c:v>16</c:v>
                </c:pt>
                <c:pt idx="28">
                  <c:v>20</c:v>
                </c:pt>
                <c:pt idx="29">
                  <c:v>11</c:v>
                </c:pt>
                <c:pt idx="30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8-48DB-8C0A-765D9104A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634592"/>
        <c:axId val="393204496"/>
      </c:barChart>
      <c:catAx>
        <c:axId val="396634592"/>
        <c:scaling>
          <c:orientation val="minMax"/>
        </c:scaling>
        <c:delete val="0"/>
        <c:axPos val="b"/>
        <c:title>
          <c:tx>
            <c:strRef>
              <c:f>MonteCarlo!$H$1</c:f>
              <c:strCache>
                <c:ptCount val="1"/>
                <c:pt idx="0">
                  <c:v>Bedload Delivered (yards/30-year period)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393204496"/>
        <c:crosses val="autoZero"/>
        <c:auto val="1"/>
        <c:lblAlgn val="ctr"/>
        <c:lblOffset val="100"/>
        <c:noMultiLvlLbl val="0"/>
      </c:catAx>
      <c:valAx>
        <c:axId val="39320449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966345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589407412903157"/>
          <c:y val="0.1289297525117179"/>
          <c:w val="0.2210728253611591"/>
          <c:h val="6.392084392961851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114301</xdr:colOff>
      <xdr:row>1</xdr:row>
      <xdr:rowOff>85725</xdr:rowOff>
    </xdr:from>
    <xdr:to>
      <xdr:col>20</xdr:col>
      <xdr:colOff>390525</xdr:colOff>
      <xdr:row>33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</xdr:colOff>
      <xdr:row>43</xdr:row>
      <xdr:rowOff>80962</xdr:rowOff>
    </xdr:from>
    <xdr:to>
      <xdr:col>18</xdr:col>
      <xdr:colOff>219075</xdr:colOff>
      <xdr:row>61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0.4036</cdr:x>
      <cdr:y>0.04715</cdr:y>
    </cdr:from>
    <cdr:to>
      <cdr:x>0.77622</cdr:x>
      <cdr:y>0.09233</cdr:y>
    </cdr:to>
    <cdr:sp macro="" textlink="Calculations!$F$66">
      <cdr:nvSpPr>
        <cdr:cNvPr id="3" name="TextBox 2"/>
        <cdr:cNvSpPr txBox="1"/>
      </cdr:nvSpPr>
      <cdr:spPr>
        <a:xfrm xmlns:a="http://schemas.openxmlformats.org/drawingml/2006/main">
          <a:off x="3829925" y="288348"/>
          <a:ext cx="3536047" cy="2762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D93752-FC98-4528-AD03-21B8BA12692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Total Sediment, Current Hydrology = 71400 cubic yards</a:t>
          </a:fld>
          <a:endParaRPr lang="en-US" sz="1100"/>
        </a:p>
      </cdr:txBody>
    </cdr:sp>
  </cdr:relSizeAnchor>
  <cdr:relSizeAnchor xmlns:cdr="http://schemas.openxmlformats.org/drawingml/2006/chartDrawing">
    <cdr:from>
      <cdr:x>0.4026</cdr:x>
      <cdr:y>0.13136</cdr:y>
    </cdr:from>
    <cdr:to>
      <cdr:x>0.7727</cdr:x>
      <cdr:y>0.17653</cdr:y>
    </cdr:to>
    <cdr:sp macro="" textlink="Calculations!$K$66">
      <cdr:nvSpPr>
        <cdr:cNvPr id="4" name="TextBox 1"/>
        <cdr:cNvSpPr txBox="1"/>
      </cdr:nvSpPr>
      <cdr:spPr>
        <a:xfrm xmlns:a="http://schemas.openxmlformats.org/drawingml/2006/main">
          <a:off x="3820445" y="803275"/>
          <a:ext cx="3512072" cy="2762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37F42BB-0E0B-4E69-81EE-BBF2F4ADFE7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Total Sediment, Changing Hydrology = 159600 cubic yards</a:t>
          </a:fld>
          <a:endParaRPr lang="en-US" sz="1100"/>
        </a:p>
      </cdr:txBody>
    </cdr:sp>
  </cdr:relSizeAnchor>
  <cdr:relSizeAnchor xmlns:cdr="http://schemas.openxmlformats.org/drawingml/2006/chartDrawing">
    <cdr:from>
      <cdr:x>0.4046</cdr:x>
      <cdr:y>0.17228</cdr:y>
    </cdr:from>
    <cdr:to>
      <cdr:x>0.51915</cdr:x>
      <cdr:y>0.21745</cdr:y>
    </cdr:to>
    <cdr:sp macro="" textlink="Calculations!$F$68">
      <cdr:nvSpPr>
        <cdr:cNvPr id="5" name="TextBox 1"/>
        <cdr:cNvSpPr txBox="1"/>
      </cdr:nvSpPr>
      <cdr:spPr>
        <a:xfrm xmlns:a="http://schemas.openxmlformats.org/drawingml/2006/main">
          <a:off x="3839405" y="1053523"/>
          <a:ext cx="1087041" cy="2762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54ABD4F-41FF-4E04-862D-EFF0E25DB3A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Increase = 124%</a:t>
          </a:fld>
          <a:endParaRPr lang="en-US" sz="1100"/>
        </a:p>
      </cdr:txBody>
    </cdr:sp>
  </cdr:relSizeAnchor>
  <cdr:relSizeAnchor xmlns:cdr="http://schemas.openxmlformats.org/drawingml/2006/chartDrawing">
    <cdr:from>
      <cdr:x>0.40393</cdr:x>
      <cdr:y>0.0893</cdr:y>
    </cdr:from>
    <cdr:to>
      <cdr:x>0.64036</cdr:x>
      <cdr:y>0.13448</cdr:y>
    </cdr:to>
    <cdr:sp macro="" textlink="Calculations!$F$69">
      <cdr:nvSpPr>
        <cdr:cNvPr id="6" name="TextBox 1"/>
        <cdr:cNvSpPr txBox="1"/>
      </cdr:nvSpPr>
      <cdr:spPr>
        <a:xfrm xmlns:a="http://schemas.openxmlformats.org/drawingml/2006/main">
          <a:off x="3851275" y="546100"/>
          <a:ext cx="2254249" cy="2762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CDD4922-658E-4168-B6E0-AE081665931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Difference from Historical = -11%</a:t>
          </a:fld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123826</xdr:rowOff>
        </xdr:from>
        <xdr:to>
          <xdr:col>6</xdr:col>
          <xdr:colOff>504825</xdr:colOff>
          <xdr:row>0</xdr:row>
          <xdr:rowOff>733426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Monte Carlo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154304</xdr:colOff>
      <xdr:row>0</xdr:row>
      <xdr:rowOff>229551</xdr:rowOff>
    </xdr:from>
    <xdr:to>
      <xdr:col>24</xdr:col>
      <xdr:colOff>443865</xdr:colOff>
      <xdr:row>22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01"/>
  <sheetViews>
    <sheetView zoomScaleNormal="100" workbookViewId="0">
      <selection activeCell="L39" sqref="L39"/>
    </sheetView>
  </sheetViews>
  <sheetFormatPr defaultRowHeight="14.4" x14ac:dyDescent="0.3"/>
  <cols>
    <col min="2" max="2" width="10.5546875" bestFit="1" customWidth="1"/>
    <col min="6" max="6" width="10.88671875" customWidth="1"/>
    <col min="11" max="11" width="9.6640625" customWidth="1"/>
    <col min="21" max="21" width="10.44140625" bestFit="1" customWidth="1"/>
    <col min="22" max="22" width="11.33203125" bestFit="1" customWidth="1"/>
  </cols>
  <sheetData>
    <row r="1" spans="1:37" x14ac:dyDescent="0.3">
      <c r="A1" t="s">
        <v>8</v>
      </c>
      <c r="AF1" t="s">
        <v>10</v>
      </c>
      <c r="AG1" t="s">
        <v>73</v>
      </c>
      <c r="AH1" t="s">
        <v>71</v>
      </c>
      <c r="AJ1" t="s">
        <v>72</v>
      </c>
      <c r="AK1" t="s">
        <v>73</v>
      </c>
    </row>
    <row r="2" spans="1:37" x14ac:dyDescent="0.3">
      <c r="A2" t="s">
        <v>1</v>
      </c>
      <c r="V2" s="14"/>
      <c r="W2" s="14"/>
      <c r="X2">
        <v>1</v>
      </c>
      <c r="Y2">
        <f>(X2-0.44)/(100+0.12)</f>
        <v>5.5932880543347989E-3</v>
      </c>
      <c r="Z2">
        <f>1-Y2</f>
        <v>0.99440671194566521</v>
      </c>
      <c r="AA2">
        <f t="shared" ref="AA2:AA33" si="0">10^(NORMINV(Y2,3.7537,0.196214))</f>
        <v>1802.773654657323</v>
      </c>
      <c r="AC2">
        <v>1964</v>
      </c>
      <c r="AD2">
        <v>3960</v>
      </c>
      <c r="AE2" t="s">
        <v>16</v>
      </c>
      <c r="AF2">
        <v>1</v>
      </c>
      <c r="AG2">
        <f>AJ2/100</f>
        <v>0.99360000000000004</v>
      </c>
      <c r="AH2">
        <v>2260</v>
      </c>
      <c r="AI2" t="s">
        <v>18</v>
      </c>
      <c r="AJ2">
        <v>99.36</v>
      </c>
      <c r="AK2">
        <f>AJ2/100</f>
        <v>0.99360000000000004</v>
      </c>
    </row>
    <row r="3" spans="1:37" x14ac:dyDescent="0.3">
      <c r="A3" t="s">
        <v>98</v>
      </c>
      <c r="B3">
        <v>55</v>
      </c>
      <c r="X3">
        <v>2</v>
      </c>
      <c r="Y3">
        <f t="shared" ref="Y3:Y66" si="1">(X3-0.44)/(100+0.12)</f>
        <v>1.5581302437075509E-2</v>
      </c>
      <c r="Z3">
        <f t="shared" ref="Z3:Z66" si="2">1-Y3</f>
        <v>0.98441869756292444</v>
      </c>
      <c r="AA3">
        <f t="shared" si="0"/>
        <v>2142.2036864402367</v>
      </c>
      <c r="AC3">
        <v>1965</v>
      </c>
      <c r="AD3">
        <v>6500</v>
      </c>
      <c r="AE3" t="s">
        <v>17</v>
      </c>
      <c r="AF3">
        <v>2</v>
      </c>
      <c r="AG3">
        <f t="shared" ref="AG3:AG56" si="3">AJ3/100</f>
        <v>0.97549999999999992</v>
      </c>
      <c r="AH3">
        <v>2630</v>
      </c>
      <c r="AI3" t="s">
        <v>46</v>
      </c>
      <c r="AJ3">
        <v>97.55</v>
      </c>
      <c r="AK3">
        <f t="shared" ref="AK3:AK56" si="4">AJ3/100</f>
        <v>0.97549999999999992</v>
      </c>
    </row>
    <row r="4" spans="1:37" x14ac:dyDescent="0.3">
      <c r="A4" t="s">
        <v>2</v>
      </c>
      <c r="X4">
        <v>3</v>
      </c>
      <c r="Y4">
        <f t="shared" si="1"/>
        <v>2.556931681981622E-2</v>
      </c>
      <c r="Z4">
        <f t="shared" si="2"/>
        <v>0.97443068318018378</v>
      </c>
      <c r="AA4">
        <f t="shared" si="0"/>
        <v>2349.7462826817655</v>
      </c>
      <c r="AC4">
        <v>1966</v>
      </c>
      <c r="AD4">
        <v>2260</v>
      </c>
      <c r="AE4" t="s">
        <v>18</v>
      </c>
      <c r="AF4">
        <v>3</v>
      </c>
      <c r="AG4">
        <f t="shared" si="3"/>
        <v>0.95730000000000004</v>
      </c>
      <c r="AH4">
        <v>2640</v>
      </c>
      <c r="AI4" t="s">
        <v>53</v>
      </c>
      <c r="AJ4">
        <v>95.73</v>
      </c>
      <c r="AK4">
        <f t="shared" si="4"/>
        <v>0.95730000000000004</v>
      </c>
    </row>
    <row r="5" spans="1:37" x14ac:dyDescent="0.3">
      <c r="A5" t="s">
        <v>3</v>
      </c>
      <c r="E5" s="1"/>
      <c r="F5" s="1"/>
      <c r="X5">
        <v>4</v>
      </c>
      <c r="Y5">
        <f t="shared" si="1"/>
        <v>3.5557331202556927E-2</v>
      </c>
      <c r="Z5">
        <f t="shared" si="2"/>
        <v>0.96444266879744311</v>
      </c>
      <c r="AA5">
        <f t="shared" si="0"/>
        <v>2509.4806403542448</v>
      </c>
      <c r="AC5">
        <v>1967</v>
      </c>
      <c r="AD5">
        <v>3780</v>
      </c>
      <c r="AE5" t="s">
        <v>19</v>
      </c>
      <c r="AF5">
        <v>4</v>
      </c>
      <c r="AG5">
        <f t="shared" si="3"/>
        <v>0.93909999999999993</v>
      </c>
      <c r="AH5">
        <v>2880</v>
      </c>
      <c r="AI5" t="s">
        <v>31</v>
      </c>
      <c r="AJ5">
        <v>93.91</v>
      </c>
      <c r="AK5">
        <f t="shared" si="4"/>
        <v>0.93909999999999993</v>
      </c>
    </row>
    <row r="6" spans="1:37" x14ac:dyDescent="0.3">
      <c r="A6" t="s">
        <v>89</v>
      </c>
      <c r="B6">
        <v>3.7536999999999998</v>
      </c>
      <c r="E6" s="1"/>
      <c r="F6" s="1"/>
      <c r="X6">
        <v>5</v>
      </c>
      <c r="Y6">
        <f t="shared" si="1"/>
        <v>4.5545345585297638E-2</v>
      </c>
      <c r="Z6">
        <f t="shared" si="2"/>
        <v>0.95445465441470234</v>
      </c>
      <c r="AA6">
        <f t="shared" si="0"/>
        <v>2643.3986609981357</v>
      </c>
      <c r="AC6">
        <v>1968</v>
      </c>
      <c r="AD6">
        <v>6900</v>
      </c>
      <c r="AE6" t="s">
        <v>20</v>
      </c>
      <c r="AF6">
        <v>5</v>
      </c>
      <c r="AG6">
        <f t="shared" si="3"/>
        <v>0.92090000000000005</v>
      </c>
      <c r="AH6">
        <v>3020</v>
      </c>
      <c r="AI6" t="s">
        <v>29</v>
      </c>
      <c r="AJ6">
        <v>92.09</v>
      </c>
      <c r="AK6">
        <f t="shared" si="4"/>
        <v>0.92090000000000005</v>
      </c>
    </row>
    <row r="7" spans="1:37" x14ac:dyDescent="0.3">
      <c r="A7" t="s">
        <v>99</v>
      </c>
      <c r="B7">
        <v>3.85E-2</v>
      </c>
      <c r="E7" s="1"/>
      <c r="F7" s="1"/>
      <c r="X7">
        <v>6</v>
      </c>
      <c r="Y7">
        <f t="shared" si="1"/>
        <v>5.5533359968038348E-2</v>
      </c>
      <c r="Z7">
        <f t="shared" si="2"/>
        <v>0.94446664003196168</v>
      </c>
      <c r="AA7">
        <f t="shared" si="0"/>
        <v>2760.8913527442792</v>
      </c>
      <c r="AC7">
        <v>1969</v>
      </c>
      <c r="AD7">
        <v>10300</v>
      </c>
      <c r="AE7" t="s">
        <v>21</v>
      </c>
      <c r="AF7">
        <v>6</v>
      </c>
      <c r="AG7">
        <f t="shared" si="3"/>
        <v>0.90269999999999995</v>
      </c>
      <c r="AH7">
        <v>3170</v>
      </c>
      <c r="AI7" t="s">
        <v>65</v>
      </c>
      <c r="AJ7">
        <v>90.27</v>
      </c>
      <c r="AK7">
        <f t="shared" si="4"/>
        <v>0.90269999999999995</v>
      </c>
    </row>
    <row r="8" spans="1:37" x14ac:dyDescent="0.3">
      <c r="A8" t="s">
        <v>100</v>
      </c>
      <c r="B8">
        <v>-0.1</v>
      </c>
      <c r="E8" s="1"/>
      <c r="F8" s="1"/>
      <c r="X8">
        <v>7</v>
      </c>
      <c r="Y8">
        <f t="shared" si="1"/>
        <v>6.5521374350779052E-2</v>
      </c>
      <c r="Z8">
        <f t="shared" si="2"/>
        <v>0.93447862564922091</v>
      </c>
      <c r="AA8">
        <f t="shared" si="0"/>
        <v>2866.9250582047562</v>
      </c>
      <c r="AC8">
        <v>1970</v>
      </c>
      <c r="AD8">
        <v>3320</v>
      </c>
      <c r="AE8" t="s">
        <v>22</v>
      </c>
      <c r="AF8">
        <v>7</v>
      </c>
      <c r="AG8">
        <f t="shared" si="3"/>
        <v>0.88450000000000006</v>
      </c>
      <c r="AH8">
        <v>3230</v>
      </c>
      <c r="AI8" t="s">
        <v>44</v>
      </c>
      <c r="AJ8">
        <v>88.45</v>
      </c>
      <c r="AK8">
        <f t="shared" si="4"/>
        <v>0.88450000000000006</v>
      </c>
    </row>
    <row r="9" spans="1:37" x14ac:dyDescent="0.3">
      <c r="A9" t="s">
        <v>101</v>
      </c>
      <c r="B9">
        <v>-7.1800000000000003E-2</v>
      </c>
      <c r="E9" s="1"/>
      <c r="F9" s="1"/>
      <c r="X9">
        <v>8</v>
      </c>
      <c r="Y9">
        <f t="shared" si="1"/>
        <v>7.5509388733519769E-2</v>
      </c>
      <c r="Z9">
        <f t="shared" si="2"/>
        <v>0.92449061126648024</v>
      </c>
      <c r="AA9">
        <f t="shared" si="0"/>
        <v>2964.4766175920786</v>
      </c>
      <c r="AC9">
        <v>1971</v>
      </c>
      <c r="AD9">
        <v>6250</v>
      </c>
      <c r="AE9" t="s">
        <v>23</v>
      </c>
      <c r="AF9">
        <v>8</v>
      </c>
      <c r="AG9">
        <f t="shared" si="3"/>
        <v>0.86640000000000006</v>
      </c>
      <c r="AH9">
        <v>3250</v>
      </c>
      <c r="AI9" t="s">
        <v>37</v>
      </c>
      <c r="AJ9">
        <v>86.64</v>
      </c>
      <c r="AK9">
        <f t="shared" si="4"/>
        <v>0.86640000000000006</v>
      </c>
    </row>
    <row r="10" spans="1:37" x14ac:dyDescent="0.3">
      <c r="A10" t="s">
        <v>4</v>
      </c>
      <c r="E10" s="1"/>
      <c r="F10" s="1"/>
      <c r="X10">
        <v>9</v>
      </c>
      <c r="Y10">
        <f t="shared" si="1"/>
        <v>8.5497403116260487E-2</v>
      </c>
      <c r="Z10">
        <f t="shared" si="2"/>
        <v>0.91450259688373947</v>
      </c>
      <c r="AA10">
        <f t="shared" si="0"/>
        <v>3055.4855130285018</v>
      </c>
      <c r="AC10">
        <v>1972</v>
      </c>
      <c r="AD10">
        <v>7580</v>
      </c>
      <c r="AE10" t="s">
        <v>24</v>
      </c>
      <c r="AF10">
        <v>9</v>
      </c>
      <c r="AG10">
        <f t="shared" si="3"/>
        <v>0.84819999999999995</v>
      </c>
      <c r="AH10">
        <v>3320</v>
      </c>
      <c r="AI10" t="s">
        <v>22</v>
      </c>
      <c r="AJ10">
        <v>84.82</v>
      </c>
      <c r="AK10">
        <f t="shared" si="4"/>
        <v>0.84819999999999995</v>
      </c>
    </row>
    <row r="11" spans="1:37" x14ac:dyDescent="0.3">
      <c r="A11" t="s">
        <v>89</v>
      </c>
      <c r="B11">
        <v>3.7536999999999998</v>
      </c>
      <c r="E11" s="1"/>
      <c r="F11" s="1"/>
      <c r="X11">
        <v>10</v>
      </c>
      <c r="Y11">
        <f t="shared" si="1"/>
        <v>9.5485417499001204E-2</v>
      </c>
      <c r="Z11">
        <f t="shared" si="2"/>
        <v>0.90451458250099881</v>
      </c>
      <c r="AA11">
        <f t="shared" si="0"/>
        <v>3141.2933541053717</v>
      </c>
      <c r="AC11">
        <v>1973</v>
      </c>
      <c r="AD11">
        <v>4290</v>
      </c>
      <c r="AE11" t="s">
        <v>25</v>
      </c>
      <c r="AF11">
        <v>10</v>
      </c>
      <c r="AG11">
        <f t="shared" si="3"/>
        <v>0.83</v>
      </c>
      <c r="AH11">
        <v>3550</v>
      </c>
      <c r="AI11" t="s">
        <v>69</v>
      </c>
      <c r="AJ11">
        <v>83</v>
      </c>
      <c r="AK11">
        <f t="shared" si="4"/>
        <v>0.83</v>
      </c>
    </row>
    <row r="12" spans="1:37" x14ac:dyDescent="0.3">
      <c r="A12" t="s">
        <v>99</v>
      </c>
      <c r="B12">
        <v>3.85E-2</v>
      </c>
      <c r="D12">
        <f>SQRT(B12)</f>
        <v>0.19621416870348585</v>
      </c>
      <c r="E12" s="1"/>
      <c r="F12" s="1"/>
      <c r="X12">
        <v>11</v>
      </c>
      <c r="Y12">
        <f t="shared" si="1"/>
        <v>0.10547343188174191</v>
      </c>
      <c r="Z12">
        <f t="shared" si="2"/>
        <v>0.89452656811825815</v>
      </c>
      <c r="AA12">
        <f t="shared" si="0"/>
        <v>3222.8711832328481</v>
      </c>
      <c r="AC12">
        <v>1974</v>
      </c>
      <c r="AD12">
        <v>4750</v>
      </c>
      <c r="AE12" t="s">
        <v>26</v>
      </c>
      <c r="AF12">
        <v>11</v>
      </c>
      <c r="AG12">
        <f t="shared" si="3"/>
        <v>0.81180000000000008</v>
      </c>
      <c r="AH12">
        <v>3600</v>
      </c>
      <c r="AI12" t="s">
        <v>50</v>
      </c>
      <c r="AJ12">
        <v>81.180000000000007</v>
      </c>
      <c r="AK12">
        <f t="shared" si="4"/>
        <v>0.81180000000000008</v>
      </c>
    </row>
    <row r="13" spans="1:37" x14ac:dyDescent="0.3">
      <c r="A13" t="s">
        <v>100</v>
      </c>
      <c r="B13">
        <v>-0.1</v>
      </c>
      <c r="E13" s="1"/>
      <c r="F13" s="1"/>
      <c r="X13">
        <v>12</v>
      </c>
      <c r="Y13">
        <f t="shared" si="1"/>
        <v>0.11546144626448263</v>
      </c>
      <c r="Z13">
        <f t="shared" si="2"/>
        <v>0.88453855373551737</v>
      </c>
      <c r="AA13">
        <f t="shared" si="0"/>
        <v>3300.9472885330465</v>
      </c>
      <c r="AC13">
        <v>1975</v>
      </c>
      <c r="AD13">
        <v>7120</v>
      </c>
      <c r="AE13" t="s">
        <v>27</v>
      </c>
      <c r="AF13">
        <v>12</v>
      </c>
      <c r="AG13">
        <f t="shared" si="3"/>
        <v>0.79359999999999997</v>
      </c>
      <c r="AH13">
        <v>3640</v>
      </c>
      <c r="AI13" t="s">
        <v>40</v>
      </c>
      <c r="AJ13">
        <v>79.36</v>
      </c>
      <c r="AK13">
        <f t="shared" si="4"/>
        <v>0.79359999999999997</v>
      </c>
    </row>
    <row r="14" spans="1:37" x14ac:dyDescent="0.3">
      <c r="A14" t="s">
        <v>101</v>
      </c>
      <c r="B14">
        <v>-7.1800000000000003E-2</v>
      </c>
      <c r="E14" s="1"/>
      <c r="F14" s="1"/>
      <c r="X14">
        <v>13</v>
      </c>
      <c r="Y14">
        <f t="shared" si="1"/>
        <v>0.12544946064722334</v>
      </c>
      <c r="Z14">
        <f t="shared" si="2"/>
        <v>0.8745505393527766</v>
      </c>
      <c r="AA14">
        <f t="shared" si="0"/>
        <v>3376.0838435119163</v>
      </c>
      <c r="AC14">
        <v>1976</v>
      </c>
      <c r="AD14">
        <v>8560</v>
      </c>
      <c r="AE14" t="s">
        <v>28</v>
      </c>
      <c r="AF14">
        <v>13</v>
      </c>
      <c r="AG14">
        <f t="shared" si="3"/>
        <v>0.77549999999999997</v>
      </c>
      <c r="AH14">
        <v>3650</v>
      </c>
      <c r="AI14" t="s">
        <v>62</v>
      </c>
      <c r="AJ14">
        <v>77.55</v>
      </c>
      <c r="AK14">
        <f t="shared" si="4"/>
        <v>0.77549999999999997</v>
      </c>
    </row>
    <row r="15" spans="1:37" x14ac:dyDescent="0.3">
      <c r="A15" t="s">
        <v>102</v>
      </c>
      <c r="B15">
        <v>-7.0000000000000007E-2</v>
      </c>
      <c r="E15" s="1"/>
      <c r="F15" s="1"/>
      <c r="X15">
        <v>14</v>
      </c>
      <c r="Y15">
        <f t="shared" si="1"/>
        <v>0.13543747502996403</v>
      </c>
      <c r="Z15">
        <f t="shared" si="2"/>
        <v>0.86456252497003594</v>
      </c>
      <c r="AA15">
        <f t="shared" si="0"/>
        <v>3448.725271364227</v>
      </c>
      <c r="AC15">
        <v>1977</v>
      </c>
      <c r="AD15">
        <v>3020</v>
      </c>
      <c r="AE15" t="s">
        <v>29</v>
      </c>
      <c r="AF15">
        <v>14</v>
      </c>
      <c r="AG15">
        <f t="shared" si="3"/>
        <v>0.75730000000000008</v>
      </c>
      <c r="AH15">
        <v>3780</v>
      </c>
      <c r="AI15" t="s">
        <v>19</v>
      </c>
      <c r="AJ15">
        <v>75.73</v>
      </c>
      <c r="AK15">
        <f t="shared" si="4"/>
        <v>0.75730000000000008</v>
      </c>
    </row>
    <row r="16" spans="1:37" x14ac:dyDescent="0.3">
      <c r="A16" t="s">
        <v>103</v>
      </c>
      <c r="B16">
        <v>0.18</v>
      </c>
      <c r="E16" s="1"/>
      <c r="F16" s="1"/>
      <c r="X16">
        <v>15</v>
      </c>
      <c r="Y16">
        <f t="shared" si="1"/>
        <v>0.14542548941270475</v>
      </c>
      <c r="Z16">
        <f t="shared" si="2"/>
        <v>0.85457451058729528</v>
      </c>
      <c r="AA16">
        <f t="shared" si="0"/>
        <v>3519.2300646223448</v>
      </c>
      <c r="AC16">
        <v>1978</v>
      </c>
      <c r="AD16">
        <v>6920</v>
      </c>
      <c r="AE16" t="s">
        <v>30</v>
      </c>
      <c r="AF16">
        <v>15</v>
      </c>
      <c r="AG16">
        <f t="shared" si="3"/>
        <v>0.73909999999999998</v>
      </c>
      <c r="AH16">
        <v>3880</v>
      </c>
      <c r="AI16" t="s">
        <v>58</v>
      </c>
      <c r="AJ16">
        <v>73.91</v>
      </c>
      <c r="AK16">
        <f t="shared" si="4"/>
        <v>0.73909999999999998</v>
      </c>
    </row>
    <row r="17" spans="1:37" x14ac:dyDescent="0.3">
      <c r="A17" t="s">
        <v>104</v>
      </c>
      <c r="B17">
        <v>9.8066000000000004E-3</v>
      </c>
      <c r="E17" s="1"/>
      <c r="F17" s="1"/>
      <c r="X17">
        <v>16</v>
      </c>
      <c r="Y17">
        <f t="shared" si="1"/>
        <v>0.15541350379544547</v>
      </c>
      <c r="Z17">
        <f t="shared" si="2"/>
        <v>0.8445864962045545</v>
      </c>
      <c r="AA17">
        <f t="shared" si="0"/>
        <v>3587.8924586707822</v>
      </c>
      <c r="AC17">
        <v>1979</v>
      </c>
      <c r="AD17">
        <v>2880</v>
      </c>
      <c r="AE17" t="s">
        <v>31</v>
      </c>
      <c r="AF17">
        <v>16</v>
      </c>
      <c r="AG17">
        <f t="shared" si="3"/>
        <v>0.72089999999999999</v>
      </c>
      <c r="AH17">
        <v>3960</v>
      </c>
      <c r="AI17" t="s">
        <v>16</v>
      </c>
      <c r="AJ17">
        <v>72.09</v>
      </c>
      <c r="AK17">
        <f t="shared" si="4"/>
        <v>0.72089999999999999</v>
      </c>
    </row>
    <row r="18" spans="1:37" x14ac:dyDescent="0.3">
      <c r="A18" t="s">
        <v>105</v>
      </c>
      <c r="B18">
        <v>400</v>
      </c>
      <c r="E18" s="1"/>
      <c r="F18" s="1"/>
      <c r="X18">
        <v>17</v>
      </c>
      <c r="Y18">
        <f t="shared" si="1"/>
        <v>0.16540151817818616</v>
      </c>
      <c r="Z18">
        <f t="shared" si="2"/>
        <v>0.83459848182181384</v>
      </c>
      <c r="AA18">
        <f t="shared" si="0"/>
        <v>3654.9576341125667</v>
      </c>
      <c r="AC18">
        <v>1980</v>
      </c>
      <c r="AD18">
        <v>5730</v>
      </c>
      <c r="AE18" t="s">
        <v>32</v>
      </c>
      <c r="AF18">
        <v>17</v>
      </c>
      <c r="AG18">
        <f t="shared" si="3"/>
        <v>0.70269999999999999</v>
      </c>
      <c r="AH18">
        <v>4130</v>
      </c>
      <c r="AI18" t="s">
        <v>55</v>
      </c>
      <c r="AJ18">
        <v>70.27</v>
      </c>
      <c r="AK18">
        <f t="shared" si="4"/>
        <v>0.70269999999999999</v>
      </c>
    </row>
    <row r="19" spans="1:37" x14ac:dyDescent="0.3">
      <c r="A19" t="s">
        <v>106</v>
      </c>
      <c r="B19">
        <v>-0.16900000000000001</v>
      </c>
      <c r="E19" s="1"/>
      <c r="F19" s="1"/>
      <c r="X19">
        <v>18</v>
      </c>
      <c r="Y19">
        <f t="shared" si="1"/>
        <v>0.17538953256092688</v>
      </c>
      <c r="Z19">
        <f t="shared" si="2"/>
        <v>0.82461046743907307</v>
      </c>
      <c r="AA19">
        <f t="shared" si="0"/>
        <v>3720.6326521577748</v>
      </c>
      <c r="AC19">
        <v>1981</v>
      </c>
      <c r="AD19">
        <v>6020</v>
      </c>
      <c r="AE19" t="s">
        <v>33</v>
      </c>
      <c r="AF19">
        <v>18</v>
      </c>
      <c r="AG19">
        <f t="shared" si="3"/>
        <v>0.6845</v>
      </c>
      <c r="AH19">
        <v>4210</v>
      </c>
      <c r="AI19" t="s">
        <v>70</v>
      </c>
      <c r="AJ19">
        <v>68.45</v>
      </c>
      <c r="AK19">
        <f t="shared" si="4"/>
        <v>0.6845</v>
      </c>
    </row>
    <row r="20" spans="1:37" x14ac:dyDescent="0.3">
      <c r="A20" t="s">
        <v>5</v>
      </c>
      <c r="E20" s="1"/>
      <c r="F20" s="1"/>
      <c r="X20">
        <v>19</v>
      </c>
      <c r="Y20">
        <f t="shared" si="1"/>
        <v>0.18537754694366756</v>
      </c>
      <c r="Z20">
        <f t="shared" si="2"/>
        <v>0.81462245305633241</v>
      </c>
      <c r="AA20">
        <f t="shared" si="0"/>
        <v>3785.094494750248</v>
      </c>
      <c r="AC20">
        <v>1982</v>
      </c>
      <c r="AD20">
        <v>7720</v>
      </c>
      <c r="AE20" t="s">
        <v>34</v>
      </c>
      <c r="AF20">
        <v>19</v>
      </c>
      <c r="AG20">
        <f t="shared" si="3"/>
        <v>0.66639999999999999</v>
      </c>
      <c r="AH20">
        <v>4290</v>
      </c>
      <c r="AI20" t="s">
        <v>25</v>
      </c>
      <c r="AJ20">
        <v>66.64</v>
      </c>
      <c r="AK20">
        <f t="shared" si="4"/>
        <v>0.66639999999999999</v>
      </c>
    </row>
    <row r="21" spans="1:37" x14ac:dyDescent="0.3">
      <c r="A21" t="s">
        <v>6</v>
      </c>
      <c r="E21" s="1"/>
      <c r="F21" s="1"/>
      <c r="X21">
        <v>20</v>
      </c>
      <c r="Y21">
        <f t="shared" si="1"/>
        <v>0.19536556132640828</v>
      </c>
      <c r="Z21">
        <f t="shared" si="2"/>
        <v>0.80463443867359175</v>
      </c>
      <c r="AA21">
        <f t="shared" si="0"/>
        <v>3848.4960907173522</v>
      </c>
      <c r="AC21">
        <v>1983</v>
      </c>
      <c r="AD21">
        <v>5690</v>
      </c>
      <c r="AE21" t="s">
        <v>35</v>
      </c>
      <c r="AF21">
        <v>20</v>
      </c>
      <c r="AG21">
        <f t="shared" si="3"/>
        <v>0.64819999999999989</v>
      </c>
      <c r="AH21">
        <v>4750</v>
      </c>
      <c r="AI21" t="s">
        <v>26</v>
      </c>
      <c r="AJ21">
        <v>64.819999999999993</v>
      </c>
      <c r="AK21">
        <f t="shared" si="4"/>
        <v>0.64819999999999989</v>
      </c>
    </row>
    <row r="22" spans="1:37" x14ac:dyDescent="0.3">
      <c r="A22" t="s">
        <v>7</v>
      </c>
      <c r="E22" s="1"/>
      <c r="F22" s="1"/>
      <c r="X22">
        <v>21</v>
      </c>
      <c r="Y22">
        <f t="shared" si="1"/>
        <v>0.205353575709149</v>
      </c>
      <c r="Z22">
        <f t="shared" si="2"/>
        <v>0.79464642429085097</v>
      </c>
      <c r="AA22">
        <f t="shared" si="0"/>
        <v>3910.9709100931932</v>
      </c>
      <c r="AC22">
        <v>1984</v>
      </c>
      <c r="AD22">
        <v>8140</v>
      </c>
      <c r="AE22" t="s">
        <v>36</v>
      </c>
      <c r="AF22">
        <v>21</v>
      </c>
      <c r="AG22">
        <f t="shared" si="3"/>
        <v>0.63</v>
      </c>
      <c r="AH22">
        <v>5070</v>
      </c>
      <c r="AI22" t="s">
        <v>38</v>
      </c>
      <c r="AJ22">
        <v>63</v>
      </c>
      <c r="AK22">
        <f t="shared" si="4"/>
        <v>0.63</v>
      </c>
    </row>
    <row r="23" spans="1:37" x14ac:dyDescent="0.3">
      <c r="A23" t="s">
        <v>0</v>
      </c>
      <c r="E23" s="1"/>
      <c r="F23" s="1"/>
      <c r="X23">
        <v>22</v>
      </c>
      <c r="Y23">
        <f t="shared" si="1"/>
        <v>0.21534159009188972</v>
      </c>
      <c r="Z23">
        <f t="shared" si="2"/>
        <v>0.78465840990811031</v>
      </c>
      <c r="AA23">
        <f t="shared" si="0"/>
        <v>3972.6365206916153</v>
      </c>
      <c r="AC23">
        <v>1985</v>
      </c>
      <c r="AD23">
        <v>3250</v>
      </c>
      <c r="AE23" t="s">
        <v>37</v>
      </c>
      <c r="AF23">
        <v>22</v>
      </c>
      <c r="AG23">
        <f t="shared" si="3"/>
        <v>0.61180000000000001</v>
      </c>
      <c r="AH23">
        <v>5130</v>
      </c>
      <c r="AI23" t="s">
        <v>51</v>
      </c>
      <c r="AJ23">
        <v>61.18</v>
      </c>
      <c r="AK23">
        <f t="shared" si="4"/>
        <v>0.61180000000000001</v>
      </c>
    </row>
    <row r="24" spans="1:37" x14ac:dyDescent="0.3">
      <c r="A24" s="4" t="s">
        <v>94</v>
      </c>
      <c r="B24" s="4" t="s">
        <v>95</v>
      </c>
      <c r="E24" s="1"/>
      <c r="F24" s="1"/>
      <c r="X24">
        <v>23</v>
      </c>
      <c r="Y24">
        <f t="shared" si="1"/>
        <v>0.22532960447463041</v>
      </c>
      <c r="Z24">
        <f t="shared" si="2"/>
        <v>0.77467039552536954</v>
      </c>
      <c r="AA24">
        <f t="shared" si="0"/>
        <v>4033.5973795495984</v>
      </c>
      <c r="AC24">
        <v>1986</v>
      </c>
      <c r="AD24">
        <v>5070</v>
      </c>
      <c r="AE24" t="s">
        <v>38</v>
      </c>
      <c r="AF24">
        <v>23</v>
      </c>
      <c r="AG24">
        <f t="shared" si="3"/>
        <v>0.59360000000000002</v>
      </c>
      <c r="AH24">
        <v>5340</v>
      </c>
      <c r="AI24" t="s">
        <v>54</v>
      </c>
      <c r="AJ24">
        <v>59.36</v>
      </c>
      <c r="AK24">
        <f t="shared" si="4"/>
        <v>0.59360000000000002</v>
      </c>
    </row>
    <row r="25" spans="1:37" x14ac:dyDescent="0.3">
      <c r="A25" s="4" t="s">
        <v>96</v>
      </c>
      <c r="B25" s="4" t="s">
        <v>97</v>
      </c>
      <c r="E25" s="1"/>
      <c r="F25" s="1"/>
      <c r="X25">
        <v>24</v>
      </c>
      <c r="Y25">
        <f t="shared" si="1"/>
        <v>0.23531761885737112</v>
      </c>
      <c r="Z25">
        <f t="shared" si="2"/>
        <v>0.76468238114262888</v>
      </c>
      <c r="AA25">
        <f t="shared" si="0"/>
        <v>4093.947051539848</v>
      </c>
      <c r="AC25">
        <v>1987</v>
      </c>
      <c r="AD25">
        <v>8380</v>
      </c>
      <c r="AE25" t="s">
        <v>39</v>
      </c>
      <c r="AF25">
        <v>24</v>
      </c>
      <c r="AG25">
        <f t="shared" si="3"/>
        <v>0.57550000000000001</v>
      </c>
      <c r="AH25">
        <v>5350</v>
      </c>
      <c r="AI25" t="s">
        <v>68</v>
      </c>
      <c r="AJ25">
        <v>57.55</v>
      </c>
      <c r="AK25">
        <f t="shared" si="4"/>
        <v>0.57550000000000001</v>
      </c>
    </row>
    <row r="26" spans="1:37" x14ac:dyDescent="0.3">
      <c r="A26" s="4">
        <v>1.01</v>
      </c>
      <c r="B26" s="5">
        <v>1915.375</v>
      </c>
      <c r="E26" s="1"/>
      <c r="F26" s="1"/>
      <c r="X26">
        <v>25</v>
      </c>
      <c r="Y26">
        <f t="shared" si="1"/>
        <v>0.24530563324011184</v>
      </c>
      <c r="Z26">
        <f t="shared" si="2"/>
        <v>0.75469436675988821</v>
      </c>
      <c r="AA26">
        <f t="shared" si="0"/>
        <v>4153.7699931883499</v>
      </c>
      <c r="AC26">
        <v>1988</v>
      </c>
      <c r="AD26">
        <v>3640</v>
      </c>
      <c r="AE26" t="s">
        <v>40</v>
      </c>
      <c r="AF26">
        <v>25</v>
      </c>
      <c r="AG26">
        <f t="shared" si="3"/>
        <v>0.55730000000000002</v>
      </c>
      <c r="AH26">
        <v>5690</v>
      </c>
      <c r="AI26" t="s">
        <v>35</v>
      </c>
      <c r="AJ26">
        <v>55.73</v>
      </c>
      <c r="AK26">
        <f t="shared" si="4"/>
        <v>0.55730000000000002</v>
      </c>
    </row>
    <row r="27" spans="1:37" x14ac:dyDescent="0.3">
      <c r="A27" s="4">
        <v>2</v>
      </c>
      <c r="B27" s="5">
        <v>5714.0829999999996</v>
      </c>
      <c r="E27" s="1"/>
      <c r="F27" s="1"/>
      <c r="X27">
        <v>26</v>
      </c>
      <c r="Y27">
        <f t="shared" si="1"/>
        <v>0.25529364762285256</v>
      </c>
      <c r="Z27">
        <f t="shared" si="2"/>
        <v>0.74470635237714744</v>
      </c>
      <c r="AA27">
        <f t="shared" si="0"/>
        <v>4213.1430023658422</v>
      </c>
      <c r="AC27">
        <v>1989</v>
      </c>
      <c r="AD27">
        <v>6030</v>
      </c>
      <c r="AE27" t="s">
        <v>41</v>
      </c>
      <c r="AF27">
        <v>26</v>
      </c>
      <c r="AG27">
        <f t="shared" si="3"/>
        <v>0.53909999999999991</v>
      </c>
      <c r="AH27">
        <v>5730</v>
      </c>
      <c r="AI27" t="s">
        <v>32</v>
      </c>
      <c r="AJ27">
        <v>53.91</v>
      </c>
      <c r="AK27">
        <f t="shared" si="4"/>
        <v>0.53909999999999991</v>
      </c>
    </row>
    <row r="28" spans="1:37" x14ac:dyDescent="0.3">
      <c r="A28" s="4">
        <v>5</v>
      </c>
      <c r="B28" s="5">
        <v>8310.6836000000003</v>
      </c>
      <c r="E28" s="1"/>
      <c r="F28" s="1"/>
      <c r="X28">
        <v>27</v>
      </c>
      <c r="Y28">
        <f t="shared" si="1"/>
        <v>0.26528166200559328</v>
      </c>
      <c r="Z28">
        <f t="shared" si="2"/>
        <v>0.73471833799440667</v>
      </c>
      <c r="AA28">
        <f t="shared" si="0"/>
        <v>4272.1364083396793</v>
      </c>
      <c r="AC28">
        <v>1990</v>
      </c>
      <c r="AD28">
        <v>7630</v>
      </c>
      <c r="AE28" t="s">
        <v>42</v>
      </c>
      <c r="AF28">
        <v>27</v>
      </c>
      <c r="AG28">
        <f t="shared" si="3"/>
        <v>0.52090000000000003</v>
      </c>
      <c r="AH28">
        <v>5740</v>
      </c>
      <c r="AI28" t="s">
        <v>66</v>
      </c>
      <c r="AJ28">
        <v>52.09</v>
      </c>
      <c r="AK28">
        <f t="shared" si="4"/>
        <v>0.52090000000000003</v>
      </c>
    </row>
    <row r="29" spans="1:37" x14ac:dyDescent="0.3">
      <c r="A29" s="4">
        <v>10</v>
      </c>
      <c r="B29" s="5">
        <v>10065.790999999999</v>
      </c>
      <c r="E29" s="1"/>
      <c r="F29" s="1"/>
      <c r="X29">
        <v>28</v>
      </c>
      <c r="Y29">
        <f t="shared" si="1"/>
        <v>0.27526967638833399</v>
      </c>
      <c r="Z29">
        <f t="shared" si="2"/>
        <v>0.72473032361166601</v>
      </c>
      <c r="AA29">
        <f t="shared" si="0"/>
        <v>4330.8150580363954</v>
      </c>
      <c r="AC29">
        <v>1991</v>
      </c>
      <c r="AD29">
        <v>11200</v>
      </c>
      <c r="AE29" t="s">
        <v>43</v>
      </c>
      <c r="AF29">
        <v>28</v>
      </c>
      <c r="AG29">
        <f t="shared" si="3"/>
        <v>0.50270000000000004</v>
      </c>
      <c r="AH29">
        <v>6020</v>
      </c>
      <c r="AI29" t="s">
        <v>33</v>
      </c>
      <c r="AJ29">
        <v>50.27</v>
      </c>
      <c r="AK29">
        <f t="shared" si="4"/>
        <v>0.50270000000000004</v>
      </c>
    </row>
    <row r="30" spans="1:37" x14ac:dyDescent="0.3">
      <c r="A30" s="4">
        <v>25</v>
      </c>
      <c r="B30" s="5">
        <v>12308.6484</v>
      </c>
      <c r="E30" s="1"/>
      <c r="F30" s="1"/>
      <c r="X30">
        <v>29</v>
      </c>
      <c r="Y30">
        <f t="shared" si="1"/>
        <v>0.28525769077107471</v>
      </c>
      <c r="Z30">
        <f t="shared" si="2"/>
        <v>0.71474230922892534</v>
      </c>
      <c r="AA30">
        <f t="shared" si="0"/>
        <v>4389.239140908021</v>
      </c>
      <c r="AC30">
        <v>1992</v>
      </c>
      <c r="AD30">
        <v>3230</v>
      </c>
      <c r="AE30" t="s">
        <v>44</v>
      </c>
      <c r="AF30">
        <v>29</v>
      </c>
      <c r="AG30">
        <f t="shared" si="3"/>
        <v>0.48450000000000004</v>
      </c>
      <c r="AH30">
        <v>6030</v>
      </c>
      <c r="AI30" t="s">
        <v>41</v>
      </c>
      <c r="AJ30">
        <v>48.45</v>
      </c>
      <c r="AK30">
        <f t="shared" si="4"/>
        <v>0.48450000000000004</v>
      </c>
    </row>
    <row r="31" spans="1:37" x14ac:dyDescent="0.3">
      <c r="A31" s="4">
        <v>50</v>
      </c>
      <c r="B31" s="5">
        <v>13992.6113</v>
      </c>
      <c r="E31" s="1"/>
      <c r="F31" s="1"/>
      <c r="X31">
        <v>30</v>
      </c>
      <c r="Y31">
        <f t="shared" si="1"/>
        <v>0.29524570515381537</v>
      </c>
      <c r="Z31">
        <f t="shared" si="2"/>
        <v>0.70475429484618468</v>
      </c>
      <c r="AA31">
        <f t="shared" si="0"/>
        <v>4447.4648849499408</v>
      </c>
      <c r="AC31">
        <v>1993</v>
      </c>
      <c r="AD31">
        <v>9890</v>
      </c>
      <c r="AE31" t="s">
        <v>45</v>
      </c>
      <c r="AF31">
        <v>30</v>
      </c>
      <c r="AG31">
        <f t="shared" si="3"/>
        <v>0.46639999999999998</v>
      </c>
      <c r="AH31">
        <v>6250</v>
      </c>
      <c r="AI31" t="s">
        <v>23</v>
      </c>
      <c r="AJ31">
        <v>46.64</v>
      </c>
      <c r="AK31">
        <f t="shared" si="4"/>
        <v>0.46639999999999998</v>
      </c>
    </row>
    <row r="32" spans="1:37" x14ac:dyDescent="0.3">
      <c r="A32" s="4">
        <v>100</v>
      </c>
      <c r="B32" s="5">
        <v>15685.2148</v>
      </c>
      <c r="E32" s="1"/>
      <c r="F32" s="1"/>
      <c r="X32">
        <v>31</v>
      </c>
      <c r="Y32">
        <f t="shared" si="1"/>
        <v>0.30523371953655609</v>
      </c>
      <c r="Z32">
        <f t="shared" si="2"/>
        <v>0.69476628046344391</v>
      </c>
      <c r="AA32">
        <f t="shared" si="0"/>
        <v>4505.5451491277599</v>
      </c>
      <c r="AC32">
        <v>1994</v>
      </c>
      <c r="AD32">
        <v>2630</v>
      </c>
      <c r="AE32" t="s">
        <v>46</v>
      </c>
      <c r="AF32">
        <v>31</v>
      </c>
      <c r="AG32">
        <f t="shared" si="3"/>
        <v>0.44819999999999999</v>
      </c>
      <c r="AH32">
        <v>6300</v>
      </c>
      <c r="AI32" t="s">
        <v>64</v>
      </c>
      <c r="AJ32">
        <v>44.82</v>
      </c>
      <c r="AK32">
        <f t="shared" si="4"/>
        <v>0.44819999999999999</v>
      </c>
    </row>
    <row r="33" spans="1:37" x14ac:dyDescent="0.3">
      <c r="A33" s="4">
        <v>500</v>
      </c>
      <c r="B33" s="5">
        <v>19698.636699999999</v>
      </c>
      <c r="E33" s="1"/>
      <c r="F33" s="1"/>
      <c r="X33">
        <v>32</v>
      </c>
      <c r="Y33">
        <f t="shared" si="1"/>
        <v>0.31522173391929681</v>
      </c>
      <c r="Z33">
        <f t="shared" si="2"/>
        <v>0.68477826608070314</v>
      </c>
      <c r="AA33">
        <f t="shared" si="0"/>
        <v>4563.5299320135582</v>
      </c>
      <c r="AC33">
        <v>1995</v>
      </c>
      <c r="AD33">
        <v>6780</v>
      </c>
      <c r="AE33" t="s">
        <v>47</v>
      </c>
      <c r="AF33">
        <v>32</v>
      </c>
      <c r="AG33">
        <f t="shared" si="3"/>
        <v>0.43</v>
      </c>
      <c r="AH33">
        <v>6370</v>
      </c>
      <c r="AI33" t="s">
        <v>60</v>
      </c>
      <c r="AJ33">
        <v>43</v>
      </c>
      <c r="AK33">
        <f t="shared" si="4"/>
        <v>0.43</v>
      </c>
    </row>
    <row r="34" spans="1:37" ht="42" x14ac:dyDescent="0.3">
      <c r="A34" s="26" t="s">
        <v>9</v>
      </c>
      <c r="B34" s="26" t="s">
        <v>10</v>
      </c>
      <c r="C34" s="26" t="s">
        <v>11</v>
      </c>
      <c r="D34" s="26" t="s">
        <v>12</v>
      </c>
      <c r="E34" s="29" t="s">
        <v>13</v>
      </c>
      <c r="F34" s="29" t="s">
        <v>74</v>
      </c>
      <c r="G34" s="26" t="s">
        <v>14</v>
      </c>
      <c r="H34" s="26" t="s">
        <v>11</v>
      </c>
      <c r="I34" s="26" t="s">
        <v>10</v>
      </c>
      <c r="J34" s="26" t="s">
        <v>15</v>
      </c>
      <c r="K34" s="26" t="s">
        <v>74</v>
      </c>
      <c r="L34" s="30"/>
      <c r="M34" s="26" t="s">
        <v>75</v>
      </c>
      <c r="N34" s="26" t="s">
        <v>79</v>
      </c>
      <c r="P34" s="28" t="s">
        <v>76</v>
      </c>
      <c r="Q34" s="28" t="s">
        <v>77</v>
      </c>
      <c r="R34" s="28" t="s">
        <v>78</v>
      </c>
      <c r="S34" s="26" t="s">
        <v>91</v>
      </c>
      <c r="T34" s="26" t="s">
        <v>92</v>
      </c>
      <c r="U34" s="27" t="s">
        <v>73</v>
      </c>
      <c r="V34" s="26" t="s">
        <v>93</v>
      </c>
      <c r="W34" s="25" t="s">
        <v>74</v>
      </c>
      <c r="X34">
        <v>33</v>
      </c>
      <c r="Y34">
        <f t="shared" si="1"/>
        <v>0.32520974830203758</v>
      </c>
      <c r="Z34">
        <f t="shared" si="2"/>
        <v>0.67479025169796247</v>
      </c>
      <c r="AA34">
        <f t="shared" ref="AA34:AA65" si="5">10^(NORMINV(Y34,3.7537,0.196214))</f>
        <v>4621.4668123048486</v>
      </c>
      <c r="AC34">
        <v>1996</v>
      </c>
      <c r="AD34">
        <v>11400</v>
      </c>
      <c r="AE34" t="s">
        <v>48</v>
      </c>
      <c r="AF34">
        <v>33</v>
      </c>
      <c r="AG34">
        <f t="shared" si="3"/>
        <v>0.4118</v>
      </c>
      <c r="AH34">
        <v>6500</v>
      </c>
      <c r="AI34" t="s">
        <v>17</v>
      </c>
      <c r="AJ34">
        <v>41.18</v>
      </c>
      <c r="AK34">
        <f t="shared" si="4"/>
        <v>0.4118</v>
      </c>
    </row>
    <row r="35" spans="1:37" x14ac:dyDescent="0.3">
      <c r="A35" s="4">
        <v>1</v>
      </c>
      <c r="B35" s="4">
        <f ca="1">RANK(E35,$E$35:$E$64)</f>
        <v>30</v>
      </c>
      <c r="C35" s="8">
        <f t="shared" ref="C35:C46" ca="1" si="6">(B35-0.44)/(COUNT($E$35:$E$64)+0.12)</f>
        <v>0.98140770252324028</v>
      </c>
      <c r="D35" s="7">
        <f ca="1">RAND()</f>
        <v>7.8143680563383167E-2</v>
      </c>
      <c r="E35" s="5">
        <f ca="1">10^(NORMINV(D35,3.7537,0.196214))</f>
        <v>2989.0518735718761</v>
      </c>
      <c r="F35" s="5">
        <f ca="1" xml:space="preserve"> IF(E35&lt;4000,0, 0.000000003*E35^3 + 0.00008*E35^2 - 0.6846*E35 + 1327.3)</f>
        <v>0</v>
      </c>
      <c r="G35" s="6">
        <v>1</v>
      </c>
      <c r="H35">
        <f t="shared" ref="H35:H64" ca="1" si="7">(I35-0.44)/(COUNT($J$35:$J$64)+0.12)</f>
        <v>0.98140770252324028</v>
      </c>
      <c r="I35" s="4">
        <f ca="1">RANK(J35,$J$35:$J$64)</f>
        <v>30</v>
      </c>
      <c r="J35" s="5">
        <f t="shared" ref="J35:J64" ca="1" si="8">E35*G35</f>
        <v>2989.0518735718761</v>
      </c>
      <c r="K35" s="5">
        <f ca="1" xml:space="preserve"> IF(J35&lt;4000,0, 0.000000003*J35^3 + 0.00008*J35^2 - 0.6846*J35 + 1327.3)</f>
        <v>0</v>
      </c>
      <c r="M35">
        <v>0.01</v>
      </c>
      <c r="N35">
        <v>0</v>
      </c>
      <c r="P35" s="11">
        <v>1.01</v>
      </c>
      <c r="Q35" s="12">
        <v>1915</v>
      </c>
      <c r="R35" s="13">
        <v>100.72365126600376</v>
      </c>
      <c r="S35" s="4">
        <v>1990</v>
      </c>
      <c r="T35" s="24">
        <v>32882</v>
      </c>
      <c r="U35" s="6">
        <f>(RANK(V35,$V$35:$V$64)-0.44)/(COUNT($V$35:$V$64)+0.12)</f>
        <v>0.31739707835325365</v>
      </c>
      <c r="V35" s="4">
        <v>7630</v>
      </c>
      <c r="W35" s="5">
        <f t="shared" ref="W35:W64" si="9" xml:space="preserve"> IF(V35&lt;4000,0, 0.000000003*V35^3 + 0.00008*V35^2 - 0.6846*V35 + 1327.3)</f>
        <v>2093.7388410000012</v>
      </c>
      <c r="X35">
        <v>34</v>
      </c>
      <c r="Y35">
        <f t="shared" si="1"/>
        <v>0.3351977626847783</v>
      </c>
      <c r="Z35">
        <f t="shared" si="2"/>
        <v>0.6648022373152217</v>
      </c>
      <c r="AA35">
        <f t="shared" si="5"/>
        <v>4679.4013337510305</v>
      </c>
      <c r="AC35">
        <v>1997</v>
      </c>
      <c r="AD35">
        <v>7320</v>
      </c>
      <c r="AE35" t="s">
        <v>49</v>
      </c>
      <c r="AF35">
        <v>34</v>
      </c>
      <c r="AG35">
        <f t="shared" si="3"/>
        <v>0.39360000000000001</v>
      </c>
      <c r="AH35">
        <v>6780</v>
      </c>
      <c r="AI35" t="s">
        <v>47</v>
      </c>
      <c r="AJ35">
        <v>39.36</v>
      </c>
      <c r="AK35">
        <f t="shared" si="4"/>
        <v>0.39360000000000001</v>
      </c>
    </row>
    <row r="36" spans="1:37" x14ac:dyDescent="0.3">
      <c r="A36" s="4">
        <v>2</v>
      </c>
      <c r="B36" s="4">
        <f t="shared" ref="B36:B64" ca="1" si="10">RANK(E36,$E$35:$E$64)</f>
        <v>16</v>
      </c>
      <c r="C36" s="8">
        <f t="shared" ca="1" si="6"/>
        <v>0.51660026560424965</v>
      </c>
      <c r="D36" s="7">
        <f t="shared" ref="D36:D64" ca="1" si="11">RAND()</f>
        <v>0.51901425285026637</v>
      </c>
      <c r="E36" s="5">
        <f t="shared" ref="E36:E64" ca="1" si="12">10^(NORMINV(D36,3.759,0.196214))</f>
        <v>5866.1805983796021</v>
      </c>
      <c r="F36" s="5">
        <f t="shared" ref="F36:F64" ca="1" si="13" xml:space="preserve"> IF(E36&lt;4000,0, 0.000000003*E36^3 + 0.00008*E36^2 - 0.6846*E36 + 1327.3)</f>
        <v>669.88108422434266</v>
      </c>
      <c r="G36" s="6">
        <f>($G$64-$G$35)/29+G35</f>
        <v>1.0134482758620689</v>
      </c>
      <c r="H36">
        <f t="shared" ca="1" si="7"/>
        <v>0.64940239043824699</v>
      </c>
      <c r="I36" s="4">
        <f t="shared" ref="I36:I64" ca="1" si="14">RANK(J36,$J$35:$J$64)</f>
        <v>20</v>
      </c>
      <c r="J36" s="5">
        <f t="shared" ca="1" si="8"/>
        <v>5945.0706133233271</v>
      </c>
      <c r="K36" s="5">
        <f t="shared" ref="K36:K64" ca="1" si="15" xml:space="preserve"> IF(J36&lt;4000,0, 0.000000003*J36^3 + 0.00008*J36^2 - 0.6846*J36 + 1327.3)</f>
        <v>715.17913824875336</v>
      </c>
      <c r="M36">
        <v>4000</v>
      </c>
      <c r="N36">
        <v>0</v>
      </c>
      <c r="P36" s="11">
        <v>2</v>
      </c>
      <c r="Q36" s="12">
        <v>5714</v>
      </c>
      <c r="R36" s="13">
        <v>1295.416818333021</v>
      </c>
      <c r="S36" s="4">
        <v>1991</v>
      </c>
      <c r="T36" s="24">
        <v>33201</v>
      </c>
      <c r="U36" s="6">
        <f t="shared" ref="U36:U64" si="16">(RANK(V36,$V$35:$V$64)-0.44)/(COUNT($V$35:$V$64)+0.12)</f>
        <v>0.11819389110225763</v>
      </c>
      <c r="V36" s="4">
        <v>11200</v>
      </c>
      <c r="W36" s="5">
        <f t="shared" si="9"/>
        <v>7909.764000000001</v>
      </c>
      <c r="X36">
        <v>35</v>
      </c>
      <c r="Y36">
        <f t="shared" si="1"/>
        <v>0.34518577706751896</v>
      </c>
      <c r="Z36">
        <f t="shared" si="2"/>
        <v>0.65481422293248104</v>
      </c>
      <c r="AA36">
        <f t="shared" si="5"/>
        <v>4737.3773445895185</v>
      </c>
      <c r="AC36">
        <v>1998</v>
      </c>
      <c r="AD36">
        <v>3600</v>
      </c>
      <c r="AE36" t="s">
        <v>50</v>
      </c>
      <c r="AF36">
        <v>35</v>
      </c>
      <c r="AG36">
        <f t="shared" si="3"/>
        <v>0.37549999999999994</v>
      </c>
      <c r="AH36">
        <v>6900</v>
      </c>
      <c r="AI36" t="s">
        <v>20</v>
      </c>
      <c r="AJ36">
        <v>37.549999999999997</v>
      </c>
      <c r="AK36">
        <f t="shared" si="4"/>
        <v>0.37549999999999994</v>
      </c>
    </row>
    <row r="37" spans="1:37" x14ac:dyDescent="0.3">
      <c r="A37" s="4">
        <v>3</v>
      </c>
      <c r="B37" s="4">
        <f t="shared" ca="1" si="10"/>
        <v>10</v>
      </c>
      <c r="C37" s="8">
        <f t="shared" ca="1" si="6"/>
        <v>0.31739707835325365</v>
      </c>
      <c r="D37" s="7">
        <f t="shared" ca="1" si="11"/>
        <v>0.7716004676780619</v>
      </c>
      <c r="E37" s="5">
        <f t="shared" ca="1" si="12"/>
        <v>8035.4152296618568</v>
      </c>
      <c r="F37" s="5">
        <f t="shared" ca="1" si="13"/>
        <v>2548.1761775341174</v>
      </c>
      <c r="G37" s="6">
        <f t="shared" ref="G37:G63" si="17">($G$64-$G$35)/29+G36</f>
        <v>1.0268965517241377</v>
      </c>
      <c r="H37">
        <f t="shared" ca="1" si="7"/>
        <v>0.38379814077025232</v>
      </c>
      <c r="I37" s="4">
        <f t="shared" ca="1" si="14"/>
        <v>12</v>
      </c>
      <c r="J37" s="5">
        <f t="shared" ca="1" si="8"/>
        <v>8251.5401910113815</v>
      </c>
      <c r="K37" s="5">
        <f t="shared" ca="1" si="15"/>
        <v>2810.8193415460555</v>
      </c>
      <c r="M37">
        <v>5000</v>
      </c>
      <c r="N37">
        <v>967</v>
      </c>
      <c r="P37" s="11">
        <v>5</v>
      </c>
      <c r="Q37" s="12">
        <v>8311</v>
      </c>
      <c r="R37" s="13">
        <v>3568.5755520716434</v>
      </c>
      <c r="S37" s="4">
        <v>1992</v>
      </c>
      <c r="T37" s="24">
        <v>33626</v>
      </c>
      <c r="U37" s="6">
        <f t="shared" si="16"/>
        <v>0.88180610889774225</v>
      </c>
      <c r="V37" s="4">
        <v>3230</v>
      </c>
      <c r="W37" s="5">
        <f t="shared" si="9"/>
        <v>0</v>
      </c>
      <c r="X37">
        <v>36</v>
      </c>
      <c r="Y37">
        <f t="shared" si="1"/>
        <v>0.35517379145025968</v>
      </c>
      <c r="Z37">
        <f t="shared" si="2"/>
        <v>0.64482620854974027</v>
      </c>
      <c r="AA37">
        <f t="shared" si="5"/>
        <v>4795.4372997169285</v>
      </c>
      <c r="AC37">
        <v>1999</v>
      </c>
      <c r="AD37">
        <v>5130</v>
      </c>
      <c r="AE37" t="s">
        <v>51</v>
      </c>
      <c r="AF37">
        <v>36</v>
      </c>
      <c r="AG37">
        <f t="shared" si="3"/>
        <v>0.35729999999999995</v>
      </c>
      <c r="AH37">
        <v>6920</v>
      </c>
      <c r="AI37" t="s">
        <v>30</v>
      </c>
      <c r="AJ37">
        <v>35.729999999999997</v>
      </c>
      <c r="AK37">
        <f t="shared" si="4"/>
        <v>0.35729999999999995</v>
      </c>
    </row>
    <row r="38" spans="1:37" x14ac:dyDescent="0.3">
      <c r="A38" s="4">
        <v>4</v>
      </c>
      <c r="B38" s="4">
        <f t="shared" ca="1" si="10"/>
        <v>17</v>
      </c>
      <c r="C38" s="8">
        <f t="shared" ca="1" si="6"/>
        <v>0.54980079681274896</v>
      </c>
      <c r="D38" s="7">
        <f t="shared" ca="1" si="11"/>
        <v>0.48800534206393142</v>
      </c>
      <c r="E38" s="5">
        <f t="shared" ca="1" si="12"/>
        <v>5663.6930935273367</v>
      </c>
      <c r="F38" s="5">
        <f t="shared" ca="1" si="13"/>
        <v>561.15924190646842</v>
      </c>
      <c r="G38" s="6">
        <f t="shared" si="17"/>
        <v>1.0403448275862066</v>
      </c>
      <c r="H38">
        <f t="shared" ca="1" si="7"/>
        <v>0.6826029216467463</v>
      </c>
      <c r="I38" s="4">
        <f t="shared" ca="1" si="14"/>
        <v>21</v>
      </c>
      <c r="J38" s="5">
        <f t="shared" ca="1" si="8"/>
        <v>5892.1938148868867</v>
      </c>
      <c r="K38" s="5">
        <f t="shared" ca="1" si="15"/>
        <v>684.63458507213932</v>
      </c>
      <c r="M38">
        <v>5700</v>
      </c>
      <c r="N38">
        <v>1200</v>
      </c>
      <c r="P38" s="11">
        <v>10</v>
      </c>
      <c r="Q38" s="12">
        <v>10066</v>
      </c>
      <c r="R38" s="23">
        <v>3938.765144462031</v>
      </c>
      <c r="S38" s="4">
        <v>1993</v>
      </c>
      <c r="T38" s="24">
        <v>33994</v>
      </c>
      <c r="U38" s="6">
        <f t="shared" si="16"/>
        <v>0.21779548472775562</v>
      </c>
      <c r="V38" s="4">
        <v>9890</v>
      </c>
      <c r="W38" s="5">
        <f t="shared" si="9"/>
        <v>5283.6590070000011</v>
      </c>
      <c r="X38">
        <v>37</v>
      </c>
      <c r="Y38">
        <f t="shared" si="1"/>
        <v>0.3651618058330004</v>
      </c>
      <c r="Z38">
        <f t="shared" si="2"/>
        <v>0.6348381941669996</v>
      </c>
      <c r="AA38">
        <f t="shared" si="5"/>
        <v>4853.6225323572417</v>
      </c>
      <c r="AC38">
        <v>2000</v>
      </c>
      <c r="AD38">
        <v>11800</v>
      </c>
      <c r="AE38" t="s">
        <v>52</v>
      </c>
      <c r="AF38">
        <v>37</v>
      </c>
      <c r="AG38">
        <f t="shared" si="3"/>
        <v>0.33909999999999996</v>
      </c>
      <c r="AH38">
        <v>7120</v>
      </c>
      <c r="AI38" t="s">
        <v>27</v>
      </c>
      <c r="AJ38">
        <v>33.909999999999997</v>
      </c>
      <c r="AK38">
        <f t="shared" si="4"/>
        <v>0.33909999999999996</v>
      </c>
    </row>
    <row r="39" spans="1:37" x14ac:dyDescent="0.3">
      <c r="A39" s="4">
        <v>5</v>
      </c>
      <c r="B39" s="4">
        <f t="shared" ca="1" si="10"/>
        <v>14</v>
      </c>
      <c r="C39" s="8">
        <f t="shared" ca="1" si="6"/>
        <v>0.45019920318725098</v>
      </c>
      <c r="D39" s="7">
        <f t="shared" ca="1" si="11"/>
        <v>0.55169432928975293</v>
      </c>
      <c r="E39" s="5">
        <f t="shared" ca="1" si="12"/>
        <v>6088.3089286228087</v>
      </c>
      <c r="F39" s="5">
        <f t="shared" ca="1" si="13"/>
        <v>801.67943240045929</v>
      </c>
      <c r="G39" s="6">
        <f t="shared" si="17"/>
        <v>1.0537931034482755</v>
      </c>
      <c r="H39">
        <f t="shared" ca="1" si="7"/>
        <v>0.51660026560424965</v>
      </c>
      <c r="I39" s="4">
        <f t="shared" ca="1" si="14"/>
        <v>16</v>
      </c>
      <c r="J39" s="5">
        <f t="shared" ca="1" si="8"/>
        <v>6415.817960645275</v>
      </c>
      <c r="K39" s="5">
        <f t="shared" ca="1" si="15"/>
        <v>1020.3261893327629</v>
      </c>
      <c r="M39">
        <v>10000</v>
      </c>
      <c r="N39">
        <v>7518</v>
      </c>
      <c r="P39" s="11">
        <v>25</v>
      </c>
      <c r="Q39" s="12">
        <v>12309</v>
      </c>
      <c r="R39" s="13">
        <v>8808.8523212699074</v>
      </c>
      <c r="S39" s="4">
        <v>1994</v>
      </c>
      <c r="T39" s="24">
        <v>34304</v>
      </c>
      <c r="U39" s="6">
        <f t="shared" si="16"/>
        <v>0.98140770252324028</v>
      </c>
      <c r="V39" s="4">
        <v>2630</v>
      </c>
      <c r="W39" s="5">
        <f t="shared" si="9"/>
        <v>0</v>
      </c>
      <c r="X39">
        <v>38</v>
      </c>
      <c r="Y39">
        <f t="shared" si="1"/>
        <v>0.37514982021574111</v>
      </c>
      <c r="Z39">
        <f t="shared" si="2"/>
        <v>0.62485017978425894</v>
      </c>
      <c r="AA39">
        <f t="shared" si="5"/>
        <v>4911.9735008427751</v>
      </c>
      <c r="AC39">
        <v>2001</v>
      </c>
      <c r="AD39">
        <v>2640</v>
      </c>
      <c r="AE39" t="s">
        <v>53</v>
      </c>
      <c r="AF39">
        <v>38</v>
      </c>
      <c r="AG39">
        <f t="shared" si="3"/>
        <v>0.32090000000000002</v>
      </c>
      <c r="AH39">
        <v>7120</v>
      </c>
      <c r="AI39" t="s">
        <v>63</v>
      </c>
      <c r="AJ39">
        <v>32.090000000000003</v>
      </c>
      <c r="AK39">
        <f t="shared" si="4"/>
        <v>0.32090000000000002</v>
      </c>
    </row>
    <row r="40" spans="1:37" x14ac:dyDescent="0.3">
      <c r="A40" s="4">
        <v>6</v>
      </c>
      <c r="B40" s="4">
        <f t="shared" ca="1" si="10"/>
        <v>22</v>
      </c>
      <c r="C40" s="8">
        <f t="shared" ca="1" si="6"/>
        <v>0.7158034528552456</v>
      </c>
      <c r="D40" s="7">
        <f t="shared" ca="1" si="11"/>
        <v>0.38490478202601908</v>
      </c>
      <c r="E40" s="5">
        <f t="shared" ca="1" si="12"/>
        <v>5030.1747597423901</v>
      </c>
      <c r="F40" s="5">
        <f t="shared" ca="1" si="13"/>
        <v>289.68538515581463</v>
      </c>
      <c r="G40" s="6">
        <f t="shared" si="17"/>
        <v>1.0672413793103444</v>
      </c>
      <c r="H40">
        <f t="shared" ca="1" si="7"/>
        <v>0.74900398406374491</v>
      </c>
      <c r="I40" s="4">
        <f t="shared" ca="1" si="14"/>
        <v>23</v>
      </c>
      <c r="J40" s="5">
        <f t="shared" ca="1" si="8"/>
        <v>5368.4106487595482</v>
      </c>
      <c r="K40" s="5">
        <f t="shared" ca="1" si="15"/>
        <v>421.82279476267627</v>
      </c>
      <c r="M40">
        <v>12000</v>
      </c>
      <c r="N40">
        <v>12888</v>
      </c>
      <c r="P40" s="11">
        <v>50</v>
      </c>
      <c r="Q40" s="12">
        <v>13993</v>
      </c>
      <c r="R40" s="13">
        <v>20801.727246018407</v>
      </c>
      <c r="S40" s="4">
        <v>1995</v>
      </c>
      <c r="T40" s="24">
        <v>34749</v>
      </c>
      <c r="U40" s="6">
        <f t="shared" si="16"/>
        <v>0.45019920318725098</v>
      </c>
      <c r="V40" s="4">
        <v>6780</v>
      </c>
      <c r="W40" s="5">
        <f t="shared" si="9"/>
        <v>1298.1812560000005</v>
      </c>
      <c r="X40">
        <v>39</v>
      </c>
      <c r="Y40">
        <f t="shared" si="1"/>
        <v>0.38513783459848183</v>
      </c>
      <c r="Z40">
        <f t="shared" si="2"/>
        <v>0.61486216540151817</v>
      </c>
      <c r="AA40">
        <f t="shared" si="5"/>
        <v>4970.5300152226037</v>
      </c>
      <c r="AC40">
        <v>2002</v>
      </c>
      <c r="AD40">
        <v>5340</v>
      </c>
      <c r="AE40" t="s">
        <v>54</v>
      </c>
      <c r="AF40">
        <v>39</v>
      </c>
      <c r="AG40">
        <f t="shared" si="3"/>
        <v>0.30269999999999997</v>
      </c>
      <c r="AH40">
        <v>7320</v>
      </c>
      <c r="AI40" t="s">
        <v>49</v>
      </c>
      <c r="AJ40">
        <v>30.27</v>
      </c>
      <c r="AK40">
        <f t="shared" si="4"/>
        <v>0.30269999999999997</v>
      </c>
    </row>
    <row r="41" spans="1:37" x14ac:dyDescent="0.3">
      <c r="A41" s="4">
        <v>7</v>
      </c>
      <c r="B41" s="4">
        <f t="shared" ca="1" si="10"/>
        <v>19</v>
      </c>
      <c r="C41" s="8">
        <f t="shared" ca="1" si="6"/>
        <v>0.61620185922974757</v>
      </c>
      <c r="D41" s="7">
        <f t="shared" ca="1" si="11"/>
        <v>0.47674648405136766</v>
      </c>
      <c r="E41" s="5">
        <f t="shared" ca="1" si="12"/>
        <v>5591.8641256810943</v>
      </c>
      <c r="F41" s="5">
        <f t="shared" ca="1" si="13"/>
        <v>525.18043688121702</v>
      </c>
      <c r="G41" s="6">
        <f t="shared" si="17"/>
        <v>1.0806896551724132</v>
      </c>
      <c r="H41">
        <f t="shared" ca="1" si="7"/>
        <v>0.61620185922974757</v>
      </c>
      <c r="I41" s="4">
        <f t="shared" ca="1" si="14"/>
        <v>19</v>
      </c>
      <c r="J41" s="5">
        <f t="shared" ca="1" si="8"/>
        <v>6043.0697137532898</v>
      </c>
      <c r="K41" s="5">
        <f t="shared" ca="1" si="15"/>
        <v>773.76479613924471</v>
      </c>
      <c r="M41">
        <v>30000</v>
      </c>
      <c r="N41">
        <v>193322</v>
      </c>
      <c r="P41" s="11">
        <v>100</v>
      </c>
      <c r="Q41" s="12">
        <v>15685</v>
      </c>
      <c r="R41" s="13">
        <v>21400.845257171684</v>
      </c>
      <c r="S41" s="4">
        <v>1996</v>
      </c>
      <c r="T41" s="24">
        <v>35032</v>
      </c>
      <c r="U41" s="6">
        <f t="shared" si="16"/>
        <v>8.4993359893758294E-2</v>
      </c>
      <c r="V41" s="4">
        <v>11400</v>
      </c>
      <c r="W41" s="5">
        <f t="shared" si="9"/>
        <v>8364.2920000000013</v>
      </c>
      <c r="X41">
        <v>40</v>
      </c>
      <c r="Y41">
        <f t="shared" si="1"/>
        <v>0.39512584898122255</v>
      </c>
      <c r="Z41">
        <f t="shared" si="2"/>
        <v>0.6048741510187774</v>
      </c>
      <c r="AA41">
        <f t="shared" si="5"/>
        <v>5029.3314477038148</v>
      </c>
      <c r="AC41">
        <v>2003</v>
      </c>
      <c r="AD41">
        <v>4130</v>
      </c>
      <c r="AE41" t="s">
        <v>55</v>
      </c>
      <c r="AF41">
        <v>40</v>
      </c>
      <c r="AG41">
        <f t="shared" si="3"/>
        <v>0.28449999999999998</v>
      </c>
      <c r="AH41">
        <v>7580</v>
      </c>
      <c r="AI41" t="s">
        <v>24</v>
      </c>
      <c r="AJ41">
        <v>28.45</v>
      </c>
      <c r="AK41">
        <f t="shared" si="4"/>
        <v>0.28449999999999998</v>
      </c>
    </row>
    <row r="42" spans="1:37" x14ac:dyDescent="0.3">
      <c r="A42" s="4">
        <v>8</v>
      </c>
      <c r="B42" s="4">
        <f t="shared" ca="1" si="10"/>
        <v>18</v>
      </c>
      <c r="C42" s="8">
        <f t="shared" ca="1" si="6"/>
        <v>0.58300132802124827</v>
      </c>
      <c r="D42" s="7">
        <f t="shared" ca="1" si="11"/>
        <v>0.48481942770287323</v>
      </c>
      <c r="E42" s="5">
        <f t="shared" ca="1" si="12"/>
        <v>5643.2832873427715</v>
      </c>
      <c r="F42" s="5">
        <f t="shared" ca="1" si="13"/>
        <v>550.7989021925971</v>
      </c>
      <c r="G42" s="6">
        <f t="shared" si="17"/>
        <v>1.0941379310344821</v>
      </c>
      <c r="H42">
        <f t="shared" ca="1" si="7"/>
        <v>0.58300132802124827</v>
      </c>
      <c r="I42" s="4">
        <f t="shared" ca="1" si="14"/>
        <v>18</v>
      </c>
      <c r="J42" s="5">
        <f t="shared" ca="1" si="8"/>
        <v>6174.5303002546907</v>
      </c>
      <c r="K42" s="5">
        <f t="shared" ca="1" si="15"/>
        <v>856.41116162856883</v>
      </c>
      <c r="P42" s="11">
        <v>200</v>
      </c>
      <c r="Q42" s="12">
        <v>17500</v>
      </c>
      <c r="R42" s="13">
        <v>30127.45498858835</v>
      </c>
      <c r="S42" s="4">
        <v>1997</v>
      </c>
      <c r="T42" s="24">
        <v>35508</v>
      </c>
      <c r="U42" s="6">
        <f t="shared" si="16"/>
        <v>0.35059760956175301</v>
      </c>
      <c r="V42" s="4">
        <v>7320</v>
      </c>
      <c r="W42" s="5">
        <f t="shared" si="9"/>
        <v>1779.2895040000001</v>
      </c>
      <c r="X42">
        <v>41</v>
      </c>
      <c r="Y42">
        <f t="shared" si="1"/>
        <v>0.40511386336396327</v>
      </c>
      <c r="Z42">
        <f t="shared" si="2"/>
        <v>0.59488613663603673</v>
      </c>
      <c r="AA42">
        <f t="shared" si="5"/>
        <v>5088.4169303732742</v>
      </c>
      <c r="AC42">
        <v>2004</v>
      </c>
      <c r="AD42">
        <v>11100</v>
      </c>
      <c r="AE42" t="s">
        <v>56</v>
      </c>
      <c r="AF42">
        <v>41</v>
      </c>
      <c r="AG42">
        <f t="shared" si="3"/>
        <v>0.26640000000000003</v>
      </c>
      <c r="AH42">
        <v>7630</v>
      </c>
      <c r="AI42" t="s">
        <v>42</v>
      </c>
      <c r="AJ42">
        <v>26.64</v>
      </c>
      <c r="AK42">
        <f t="shared" si="4"/>
        <v>0.26640000000000003</v>
      </c>
    </row>
    <row r="43" spans="1:37" x14ac:dyDescent="0.3">
      <c r="A43" s="4">
        <v>9</v>
      </c>
      <c r="B43" s="4">
        <f t="shared" ca="1" si="10"/>
        <v>23</v>
      </c>
      <c r="C43" s="8">
        <f t="shared" ca="1" si="6"/>
        <v>0.74900398406374491</v>
      </c>
      <c r="D43" s="7">
        <f t="shared" ca="1" si="11"/>
        <v>0.36410748198198262</v>
      </c>
      <c r="E43" s="5">
        <f t="shared" ca="1" si="12"/>
        <v>4906.9929938011192</v>
      </c>
      <c r="F43" s="5">
        <f t="shared" ca="1" si="13"/>
        <v>248.71928937374992</v>
      </c>
      <c r="G43" s="6">
        <f t="shared" si="17"/>
        <v>1.107586206896551</v>
      </c>
      <c r="H43">
        <f t="shared" ca="1" si="7"/>
        <v>0.7158034528552456</v>
      </c>
      <c r="I43" s="4">
        <f t="shared" ca="1" si="14"/>
        <v>22</v>
      </c>
      <c r="J43" s="5">
        <f t="shared" ca="1" si="8"/>
        <v>5434.9177572721328</v>
      </c>
      <c r="K43" s="5">
        <f t="shared" ca="1" si="15"/>
        <v>451.23698511431917</v>
      </c>
      <c r="P43" s="11">
        <v>500</v>
      </c>
      <c r="Q43" s="12">
        <v>19699</v>
      </c>
      <c r="R43" s="13">
        <v>44025.303939636957</v>
      </c>
      <c r="S43" s="4">
        <v>1998</v>
      </c>
      <c r="T43" s="24">
        <v>35733</v>
      </c>
      <c r="U43" s="6">
        <f t="shared" si="16"/>
        <v>0.81540504648074363</v>
      </c>
      <c r="V43" s="4">
        <v>3600</v>
      </c>
      <c r="W43" s="5">
        <f t="shared" si="9"/>
        <v>0</v>
      </c>
      <c r="X43">
        <v>42</v>
      </c>
      <c r="Y43">
        <f t="shared" si="1"/>
        <v>0.41510187774670398</v>
      </c>
      <c r="Z43">
        <f t="shared" si="2"/>
        <v>0.58489812225329607</v>
      </c>
      <c r="AA43">
        <f t="shared" si="5"/>
        <v>5147.8255432114311</v>
      </c>
      <c r="AC43">
        <v>2005</v>
      </c>
      <c r="AD43">
        <v>9060</v>
      </c>
      <c r="AE43" t="s">
        <v>57</v>
      </c>
      <c r="AF43">
        <v>42</v>
      </c>
      <c r="AG43">
        <f t="shared" si="3"/>
        <v>0.2482</v>
      </c>
      <c r="AH43">
        <v>7720</v>
      </c>
      <c r="AI43" t="s">
        <v>34</v>
      </c>
      <c r="AJ43">
        <v>24.82</v>
      </c>
      <c r="AK43">
        <f t="shared" si="4"/>
        <v>0.2482</v>
      </c>
    </row>
    <row r="44" spans="1:37" x14ac:dyDescent="0.3">
      <c r="A44" s="4">
        <v>10</v>
      </c>
      <c r="B44" s="4">
        <f t="shared" ca="1" si="10"/>
        <v>20</v>
      </c>
      <c r="C44" s="8">
        <f t="shared" ca="1" si="6"/>
        <v>0.64940239043824699</v>
      </c>
      <c r="D44" s="7">
        <f t="shared" ca="1" si="11"/>
        <v>0.46355166308153106</v>
      </c>
      <c r="E44" s="5">
        <f t="shared" ca="1" si="12"/>
        <v>5508.6908403951256</v>
      </c>
      <c r="F44" s="5">
        <f t="shared" ca="1" si="13"/>
        <v>485.19905470658364</v>
      </c>
      <c r="G44" s="6">
        <f t="shared" si="17"/>
        <v>1.1210344827586198</v>
      </c>
      <c r="H44">
        <f t="shared" ca="1" si="7"/>
        <v>0.54980079681274896</v>
      </c>
      <c r="I44" s="4">
        <f t="shared" ca="1" si="14"/>
        <v>17</v>
      </c>
      <c r="J44" s="5">
        <f t="shared" ca="1" si="8"/>
        <v>6175.4323869394966</v>
      </c>
      <c r="K44" s="5">
        <f t="shared" ca="1" si="15"/>
        <v>856.99442432778346</v>
      </c>
      <c r="S44" s="4">
        <v>1999</v>
      </c>
      <c r="T44" s="24">
        <v>36174</v>
      </c>
      <c r="U44" s="6">
        <f t="shared" si="16"/>
        <v>0.64940239043824699</v>
      </c>
      <c r="V44" s="4">
        <v>5130</v>
      </c>
      <c r="W44" s="5">
        <f t="shared" si="9"/>
        <v>325.67109100000039</v>
      </c>
      <c r="X44">
        <v>43</v>
      </c>
      <c r="Y44">
        <f t="shared" si="1"/>
        <v>0.42508989212944465</v>
      </c>
      <c r="Z44">
        <f t="shared" si="2"/>
        <v>0.57491010787055541</v>
      </c>
      <c r="AA44">
        <f t="shared" si="5"/>
        <v>5207.5964950711477</v>
      </c>
      <c r="AC44">
        <v>2006</v>
      </c>
      <c r="AD44">
        <v>3880</v>
      </c>
      <c r="AE44" t="s">
        <v>58</v>
      </c>
      <c r="AF44">
        <v>43</v>
      </c>
      <c r="AG44">
        <f t="shared" si="3"/>
        <v>0.23</v>
      </c>
      <c r="AH44">
        <v>8140</v>
      </c>
      <c r="AI44" t="s">
        <v>36</v>
      </c>
      <c r="AJ44">
        <v>23</v>
      </c>
      <c r="AK44">
        <f t="shared" si="4"/>
        <v>0.23</v>
      </c>
    </row>
    <row r="45" spans="1:37" x14ac:dyDescent="0.3">
      <c r="A45" s="4">
        <v>11</v>
      </c>
      <c r="B45" s="4">
        <f t="shared" ca="1" si="10"/>
        <v>29</v>
      </c>
      <c r="C45" s="8">
        <f t="shared" ca="1" si="6"/>
        <v>0.94820717131474097</v>
      </c>
      <c r="D45" s="7">
        <f t="shared" ca="1" si="11"/>
        <v>0.10448469380293302</v>
      </c>
      <c r="E45" s="5">
        <f t="shared" ca="1" si="12"/>
        <v>3254.436988624258</v>
      </c>
      <c r="F45" s="5">
        <f t="shared" ca="1" si="13"/>
        <v>0</v>
      </c>
      <c r="G45" s="6">
        <f t="shared" si="17"/>
        <v>1.1344827586206887</v>
      </c>
      <c r="H45">
        <f t="shared" ca="1" si="7"/>
        <v>0.94820717131474097</v>
      </c>
      <c r="I45" s="4">
        <f t="shared" ca="1" si="14"/>
        <v>29</v>
      </c>
      <c r="J45" s="5">
        <f t="shared" ca="1" si="8"/>
        <v>3692.1026526116552</v>
      </c>
      <c r="K45" s="5">
        <f t="shared" ca="1" si="15"/>
        <v>0</v>
      </c>
      <c r="S45" s="4">
        <v>2000</v>
      </c>
      <c r="T45" s="24">
        <v>36509</v>
      </c>
      <c r="U45" s="6">
        <f t="shared" si="16"/>
        <v>5.1792828685258967E-2</v>
      </c>
      <c r="V45" s="4">
        <v>11800</v>
      </c>
      <c r="W45" s="5">
        <f t="shared" si="9"/>
        <v>9317.3160000000007</v>
      </c>
      <c r="X45">
        <v>44</v>
      </c>
      <c r="Y45">
        <f t="shared" si="1"/>
        <v>0.43507790651218536</v>
      </c>
      <c r="Z45">
        <f t="shared" si="2"/>
        <v>0.56492209348781464</v>
      </c>
      <c r="AA45">
        <f t="shared" si="5"/>
        <v>5267.7693000385334</v>
      </c>
      <c r="AC45">
        <v>2007</v>
      </c>
      <c r="AD45">
        <v>10500</v>
      </c>
      <c r="AE45" t="s">
        <v>59</v>
      </c>
      <c r="AF45">
        <v>44</v>
      </c>
      <c r="AG45">
        <f t="shared" si="3"/>
        <v>0.21179999999999999</v>
      </c>
      <c r="AH45">
        <v>8380</v>
      </c>
      <c r="AI45" t="s">
        <v>39</v>
      </c>
      <c r="AJ45">
        <v>21.18</v>
      </c>
      <c r="AK45">
        <f t="shared" si="4"/>
        <v>0.21179999999999999</v>
      </c>
    </row>
    <row r="46" spans="1:37" x14ac:dyDescent="0.3">
      <c r="A46" s="4">
        <v>12</v>
      </c>
      <c r="B46" s="4">
        <f t="shared" ca="1" si="10"/>
        <v>24</v>
      </c>
      <c r="C46" s="8">
        <f t="shared" ca="1" si="6"/>
        <v>0.78220451527224433</v>
      </c>
      <c r="D46" s="7">
        <f t="shared" ca="1" si="11"/>
        <v>0.27154690037130802</v>
      </c>
      <c r="E46" s="5">
        <f t="shared" ca="1" si="12"/>
        <v>4361.8846276329668</v>
      </c>
      <c r="F46" s="5">
        <f t="shared" ca="1" si="13"/>
        <v>112.20492585554848</v>
      </c>
      <c r="G46" s="6">
        <f t="shared" si="17"/>
        <v>1.1479310344827576</v>
      </c>
      <c r="H46">
        <f t="shared" ca="1" si="7"/>
        <v>0.84860557768924294</v>
      </c>
      <c r="I46" s="4">
        <f t="shared" ca="1" si="14"/>
        <v>26</v>
      </c>
      <c r="J46" s="5">
        <f t="shared" ca="1" si="8"/>
        <v>5007.1427328931495</v>
      </c>
      <c r="K46" s="5">
        <f t="shared" ca="1" si="15"/>
        <v>281.73776469921336</v>
      </c>
      <c r="S46" s="4">
        <v>2001</v>
      </c>
      <c r="T46" s="24">
        <v>36969</v>
      </c>
      <c r="U46" s="6">
        <f t="shared" si="16"/>
        <v>0.94820717131474097</v>
      </c>
      <c r="V46" s="4">
        <v>2640</v>
      </c>
      <c r="W46" s="5">
        <f t="shared" si="9"/>
        <v>0</v>
      </c>
      <c r="X46">
        <v>45</v>
      </c>
      <c r="Y46">
        <f t="shared" si="1"/>
        <v>0.44506592089492608</v>
      </c>
      <c r="Z46">
        <f t="shared" si="2"/>
        <v>0.55493407910507386</v>
      </c>
      <c r="AA46">
        <f t="shared" si="5"/>
        <v>5328.3839514032979</v>
      </c>
      <c r="AC46">
        <v>2008</v>
      </c>
      <c r="AD46">
        <v>6370</v>
      </c>
      <c r="AE46" t="s">
        <v>60</v>
      </c>
      <c r="AF46">
        <v>45</v>
      </c>
      <c r="AG46">
        <f t="shared" si="3"/>
        <v>0.19359999999999999</v>
      </c>
      <c r="AH46">
        <v>8560</v>
      </c>
      <c r="AI46" t="s">
        <v>28</v>
      </c>
      <c r="AJ46">
        <v>19.36</v>
      </c>
      <c r="AK46">
        <f t="shared" si="4"/>
        <v>0.19359999999999999</v>
      </c>
    </row>
    <row r="47" spans="1:37" x14ac:dyDescent="0.3">
      <c r="A47" s="4">
        <v>13</v>
      </c>
      <c r="B47" s="4">
        <f t="shared" ca="1" si="10"/>
        <v>11</v>
      </c>
      <c r="C47" s="8">
        <f ca="1">(B47-0.44)/(COUNT($E$35:$E$64)+0.12)</f>
        <v>0.35059760956175301</v>
      </c>
      <c r="D47" s="7">
        <f t="shared" ca="1" si="11"/>
        <v>0.70152272062637111</v>
      </c>
      <c r="E47" s="5">
        <f t="shared" ca="1" si="12"/>
        <v>7290.4617024746703</v>
      </c>
      <c r="F47" s="5">
        <f t="shared" ca="1" si="13"/>
        <v>1750.7987771545129</v>
      </c>
      <c r="G47" s="6">
        <f t="shared" si="17"/>
        <v>1.1613793103448264</v>
      </c>
      <c r="H47">
        <f t="shared" ca="1" si="7"/>
        <v>0.35059760956175301</v>
      </c>
      <c r="I47" s="4">
        <f t="shared" ca="1" si="14"/>
        <v>11</v>
      </c>
      <c r="J47" s="5">
        <f t="shared" ca="1" si="8"/>
        <v>8466.9913841154012</v>
      </c>
      <c r="K47" s="5">
        <f t="shared" ca="1" si="15"/>
        <v>3086.9875379622044</v>
      </c>
      <c r="S47" s="4">
        <v>2002</v>
      </c>
      <c r="T47" s="24">
        <v>37209</v>
      </c>
      <c r="U47" s="6">
        <f t="shared" si="16"/>
        <v>0.61620185922974757</v>
      </c>
      <c r="V47" s="4">
        <v>5340</v>
      </c>
      <c r="W47" s="5">
        <f t="shared" si="9"/>
        <v>409.60391199999981</v>
      </c>
      <c r="X47">
        <v>46</v>
      </c>
      <c r="Y47">
        <f t="shared" si="1"/>
        <v>0.4550539352776668</v>
      </c>
      <c r="Z47">
        <f t="shared" si="2"/>
        <v>0.5449460647223332</v>
      </c>
      <c r="AA47">
        <f t="shared" si="5"/>
        <v>5389.4810953366023</v>
      </c>
      <c r="AC47">
        <v>2009</v>
      </c>
      <c r="AD47">
        <v>13800</v>
      </c>
      <c r="AE47" t="s">
        <v>61</v>
      </c>
      <c r="AF47">
        <v>46</v>
      </c>
      <c r="AG47">
        <f t="shared" si="3"/>
        <v>0.17550000000000002</v>
      </c>
      <c r="AH47">
        <v>9060</v>
      </c>
      <c r="AI47" t="s">
        <v>57</v>
      </c>
      <c r="AJ47">
        <v>17.55</v>
      </c>
      <c r="AK47">
        <f t="shared" si="4"/>
        <v>0.17550000000000002</v>
      </c>
    </row>
    <row r="48" spans="1:37" x14ac:dyDescent="0.3">
      <c r="A48" s="4">
        <v>14</v>
      </c>
      <c r="B48" s="4">
        <f t="shared" ca="1" si="10"/>
        <v>3</v>
      </c>
      <c r="C48" s="8">
        <f t="shared" ref="C48:C64" ca="1" si="18">(B48-0.44)/(COUNT($E$35:$E$64)+0.12)</f>
        <v>8.4993359893758294E-2</v>
      </c>
      <c r="D48" s="7">
        <f t="shared" ca="1" si="11"/>
        <v>0.90872747025309264</v>
      </c>
      <c r="E48" s="5">
        <f t="shared" ca="1" si="12"/>
        <v>10484.442361429445</v>
      </c>
      <c r="F48" s="5">
        <f t="shared" ca="1" si="13"/>
        <v>6400.9940843990917</v>
      </c>
      <c r="G48" s="6">
        <f t="shared" si="17"/>
        <v>1.1748275862068953</v>
      </c>
      <c r="H48">
        <f t="shared" ca="1" si="7"/>
        <v>0.11819389110225763</v>
      </c>
      <c r="I48" s="4">
        <f t="shared" ca="1" si="14"/>
        <v>4</v>
      </c>
      <c r="J48" s="5">
        <f t="shared" ca="1" si="8"/>
        <v>12317.412112203476</v>
      </c>
      <c r="K48" s="5">
        <f t="shared" ca="1" si="15"/>
        <v>10638.634043477332</v>
      </c>
      <c r="S48" s="4">
        <v>2003</v>
      </c>
      <c r="T48" s="24">
        <v>37647</v>
      </c>
      <c r="U48" s="6">
        <f t="shared" si="16"/>
        <v>0.7158034528552456</v>
      </c>
      <c r="V48" s="4">
        <v>4130</v>
      </c>
      <c r="W48" s="5">
        <f t="shared" si="9"/>
        <v>75.788990999999896</v>
      </c>
      <c r="X48">
        <v>47</v>
      </c>
      <c r="Y48">
        <f t="shared" si="1"/>
        <v>0.46504194966040752</v>
      </c>
      <c r="Z48">
        <f t="shared" si="2"/>
        <v>0.53495805033959254</v>
      </c>
      <c r="AA48">
        <f t="shared" si="5"/>
        <v>5451.1022062958045</v>
      </c>
      <c r="AC48">
        <v>2010</v>
      </c>
      <c r="AD48">
        <v>3650</v>
      </c>
      <c r="AE48" t="s">
        <v>62</v>
      </c>
      <c r="AF48">
        <v>47</v>
      </c>
      <c r="AG48">
        <f t="shared" si="3"/>
        <v>0.1573</v>
      </c>
      <c r="AH48">
        <v>9340</v>
      </c>
      <c r="AI48" t="s">
        <v>67</v>
      </c>
      <c r="AJ48">
        <v>15.73</v>
      </c>
      <c r="AK48">
        <f t="shared" si="4"/>
        <v>0.1573</v>
      </c>
    </row>
    <row r="49" spans="1:37" x14ac:dyDescent="0.3">
      <c r="A49" s="4">
        <v>15</v>
      </c>
      <c r="B49" s="4">
        <f t="shared" ca="1" si="10"/>
        <v>15</v>
      </c>
      <c r="C49" s="8">
        <f t="shared" ca="1" si="18"/>
        <v>0.48339973439575035</v>
      </c>
      <c r="D49" s="7">
        <f t="shared" ca="1" si="11"/>
        <v>0.53372892681629225</v>
      </c>
      <c r="E49" s="5">
        <f t="shared" ca="1" si="12"/>
        <v>5964.9787158032959</v>
      </c>
      <c r="F49" s="5">
        <f t="shared" ca="1" si="13"/>
        <v>726.87246309916395</v>
      </c>
      <c r="G49" s="6">
        <f t="shared" si="17"/>
        <v>1.1882758620689642</v>
      </c>
      <c r="H49">
        <f t="shared" ca="1" si="7"/>
        <v>0.45019920318725098</v>
      </c>
      <c r="I49" s="4">
        <f t="shared" ca="1" si="14"/>
        <v>14</v>
      </c>
      <c r="J49" s="5">
        <f t="shared" ca="1" si="8"/>
        <v>7088.0402257441847</v>
      </c>
      <c r="K49" s="5">
        <f t="shared" ca="1" si="15"/>
        <v>1562.368905695979</v>
      </c>
      <c r="S49" s="4">
        <v>2004</v>
      </c>
      <c r="T49" s="24">
        <v>37914</v>
      </c>
      <c r="U49" s="6">
        <f t="shared" si="16"/>
        <v>0.15139442231075695</v>
      </c>
      <c r="V49" s="4">
        <v>11100</v>
      </c>
      <c r="W49" s="5">
        <f t="shared" si="9"/>
        <v>7687.9330000000018</v>
      </c>
      <c r="X49">
        <v>48</v>
      </c>
      <c r="Y49">
        <f t="shared" si="1"/>
        <v>0.47502996404314823</v>
      </c>
      <c r="Z49">
        <f t="shared" si="2"/>
        <v>0.52497003595685177</v>
      </c>
      <c r="AA49">
        <f t="shared" si="5"/>
        <v>5513.2897661442166</v>
      </c>
      <c r="AC49">
        <v>2011</v>
      </c>
      <c r="AD49">
        <v>7120</v>
      </c>
      <c r="AE49" t="s">
        <v>63</v>
      </c>
      <c r="AF49">
        <v>48</v>
      </c>
      <c r="AG49">
        <f t="shared" si="3"/>
        <v>0.1391</v>
      </c>
      <c r="AH49">
        <v>9890</v>
      </c>
      <c r="AI49" t="s">
        <v>45</v>
      </c>
      <c r="AJ49">
        <v>13.91</v>
      </c>
      <c r="AK49">
        <f t="shared" si="4"/>
        <v>0.1391</v>
      </c>
    </row>
    <row r="50" spans="1:37" x14ac:dyDescent="0.3">
      <c r="A50" s="4">
        <v>16</v>
      </c>
      <c r="B50" s="4">
        <f t="shared" ca="1" si="10"/>
        <v>12</v>
      </c>
      <c r="C50" s="8">
        <f t="shared" ca="1" si="18"/>
        <v>0.38379814077025232</v>
      </c>
      <c r="D50" s="7">
        <f t="shared" ca="1" si="11"/>
        <v>0.69805680697285377</v>
      </c>
      <c r="E50" s="5">
        <f t="shared" ca="1" si="12"/>
        <v>7257.7117351979332</v>
      </c>
      <c r="F50" s="5">
        <f t="shared" ca="1" si="13"/>
        <v>1719.5073061634218</v>
      </c>
      <c r="G50" s="6">
        <f t="shared" si="17"/>
        <v>1.2017241379310331</v>
      </c>
      <c r="H50">
        <f t="shared" ca="1" si="7"/>
        <v>0.31739707835325365</v>
      </c>
      <c r="I50" s="4">
        <f t="shared" ca="1" si="14"/>
        <v>10</v>
      </c>
      <c r="J50" s="5">
        <f t="shared" ca="1" si="8"/>
        <v>8721.7673783326791</v>
      </c>
      <c r="K50" s="5">
        <f t="shared" ca="1" si="15"/>
        <v>3432.2904356775443</v>
      </c>
      <c r="S50" s="4">
        <v>2005</v>
      </c>
      <c r="T50" s="24">
        <v>38316</v>
      </c>
      <c r="U50" s="6">
        <f t="shared" si="16"/>
        <v>0.28419654714475434</v>
      </c>
      <c r="V50" s="4">
        <v>9060</v>
      </c>
      <c r="W50" s="5">
        <f t="shared" si="9"/>
        <v>3922.5442480000002</v>
      </c>
      <c r="X50">
        <v>49</v>
      </c>
      <c r="Y50">
        <f t="shared" si="1"/>
        <v>0.48501797842588895</v>
      </c>
      <c r="Z50">
        <f t="shared" si="2"/>
        <v>0.51498202157411099</v>
      </c>
      <c r="AA50">
        <f t="shared" si="5"/>
        <v>5576.0874489870994</v>
      </c>
      <c r="AC50">
        <v>2012</v>
      </c>
      <c r="AD50">
        <v>6300</v>
      </c>
      <c r="AE50" t="s">
        <v>64</v>
      </c>
      <c r="AF50">
        <v>49</v>
      </c>
      <c r="AG50">
        <f t="shared" si="3"/>
        <v>0.12089999999999999</v>
      </c>
      <c r="AH50">
        <v>10300</v>
      </c>
      <c r="AI50" t="s">
        <v>21</v>
      </c>
      <c r="AJ50">
        <v>12.09</v>
      </c>
      <c r="AK50">
        <f t="shared" si="4"/>
        <v>0.12089999999999999</v>
      </c>
    </row>
    <row r="51" spans="1:37" x14ac:dyDescent="0.3">
      <c r="A51" s="4">
        <v>17</v>
      </c>
      <c r="B51" s="4">
        <f t="shared" ca="1" si="10"/>
        <v>25</v>
      </c>
      <c r="C51" s="8">
        <f t="shared" ca="1" si="18"/>
        <v>0.81540504648074363</v>
      </c>
      <c r="D51" s="7">
        <f t="shared" ca="1" si="11"/>
        <v>0.2337702679846535</v>
      </c>
      <c r="E51" s="5">
        <f t="shared" ca="1" si="12"/>
        <v>4134.7872043242542</v>
      </c>
      <c r="F51" s="5">
        <f t="shared" ca="1" si="13"/>
        <v>76.412634878156723</v>
      </c>
      <c r="G51" s="6">
        <f t="shared" si="17"/>
        <v>1.2151724137931019</v>
      </c>
      <c r="H51">
        <f t="shared" ca="1" si="7"/>
        <v>0.81540504648074363</v>
      </c>
      <c r="I51" s="4">
        <f t="shared" ca="1" si="14"/>
        <v>25</v>
      </c>
      <c r="J51" s="5">
        <f t="shared" ca="1" si="8"/>
        <v>5024.4793475995357</v>
      </c>
      <c r="K51" s="5">
        <f t="shared" ca="1" si="15"/>
        <v>287.70771873714398</v>
      </c>
      <c r="S51" s="4">
        <v>2006</v>
      </c>
      <c r="T51" s="24">
        <v>38747</v>
      </c>
      <c r="U51" s="6">
        <f t="shared" si="16"/>
        <v>0.74900398406374491</v>
      </c>
      <c r="V51" s="4">
        <v>3880</v>
      </c>
      <c r="W51" s="5">
        <f t="shared" si="9"/>
        <v>0</v>
      </c>
      <c r="X51">
        <v>50</v>
      </c>
      <c r="Y51">
        <f t="shared" si="1"/>
        <v>0.49500599280862967</v>
      </c>
      <c r="Z51">
        <f t="shared" si="2"/>
        <v>0.50499400719137033</v>
      </c>
      <c r="AA51">
        <f t="shared" si="5"/>
        <v>5639.5403137813137</v>
      </c>
      <c r="AC51">
        <v>2013</v>
      </c>
      <c r="AD51">
        <v>3170</v>
      </c>
      <c r="AE51" t="s">
        <v>65</v>
      </c>
      <c r="AF51">
        <v>50</v>
      </c>
      <c r="AG51">
        <f t="shared" si="3"/>
        <v>0.1027</v>
      </c>
      <c r="AH51">
        <v>10500</v>
      </c>
      <c r="AI51" t="s">
        <v>59</v>
      </c>
      <c r="AJ51">
        <v>10.27</v>
      </c>
      <c r="AK51">
        <f t="shared" si="4"/>
        <v>0.1027</v>
      </c>
    </row>
    <row r="52" spans="1:37" x14ac:dyDescent="0.3">
      <c r="A52" s="4">
        <v>18</v>
      </c>
      <c r="B52" s="4">
        <f t="shared" ca="1" si="10"/>
        <v>8</v>
      </c>
      <c r="C52" s="8">
        <f t="shared" ca="1" si="18"/>
        <v>0.25099601593625498</v>
      </c>
      <c r="D52" s="7">
        <f t="shared" ca="1" si="11"/>
        <v>0.80027351854800532</v>
      </c>
      <c r="E52" s="5">
        <f t="shared" ca="1" si="12"/>
        <v>8400.9740984383025</v>
      </c>
      <c r="F52" s="5">
        <f t="shared" ca="1" si="13"/>
        <v>3000.8330596290743</v>
      </c>
      <c r="G52" s="6">
        <f t="shared" si="17"/>
        <v>1.2286206896551708</v>
      </c>
      <c r="H52">
        <f t="shared" ca="1" si="7"/>
        <v>0.28419654714475434</v>
      </c>
      <c r="I52" s="4">
        <f t="shared" ca="1" si="14"/>
        <v>9</v>
      </c>
      <c r="J52" s="5">
        <f t="shared" ca="1" si="8"/>
        <v>10321.610590598493</v>
      </c>
      <c r="K52" s="5">
        <f t="shared" ca="1" si="15"/>
        <v>6082.8353352135291</v>
      </c>
      <c r="S52" s="4">
        <v>2007</v>
      </c>
      <c r="T52" s="24">
        <v>39027</v>
      </c>
      <c r="U52" s="6">
        <f t="shared" si="16"/>
        <v>0.18459495351925628</v>
      </c>
      <c r="V52" s="4">
        <v>10500</v>
      </c>
      <c r="W52" s="5">
        <f t="shared" si="9"/>
        <v>6431.875</v>
      </c>
      <c r="X52">
        <v>51</v>
      </c>
      <c r="Y52">
        <f t="shared" si="1"/>
        <v>0.50499400719137033</v>
      </c>
      <c r="Z52">
        <f t="shared" si="2"/>
        <v>0.49500599280862967</v>
      </c>
      <c r="AA52">
        <f t="shared" si="5"/>
        <v>5703.6950068760088</v>
      </c>
      <c r="AC52">
        <v>2014</v>
      </c>
      <c r="AD52">
        <v>5740</v>
      </c>
      <c r="AE52" t="s">
        <v>66</v>
      </c>
      <c r="AF52">
        <v>51</v>
      </c>
      <c r="AG52">
        <f t="shared" si="3"/>
        <v>8.4499999999999992E-2</v>
      </c>
      <c r="AH52">
        <v>11100</v>
      </c>
      <c r="AI52" t="s">
        <v>56</v>
      </c>
      <c r="AJ52">
        <v>8.4499999999999993</v>
      </c>
      <c r="AK52">
        <f t="shared" si="4"/>
        <v>8.4499999999999992E-2</v>
      </c>
    </row>
    <row r="53" spans="1:37" x14ac:dyDescent="0.3">
      <c r="A53" s="4">
        <v>19</v>
      </c>
      <c r="B53" s="4">
        <f t="shared" ca="1" si="10"/>
        <v>13</v>
      </c>
      <c r="C53" s="8">
        <f t="shared" ca="1" si="18"/>
        <v>0.41699867197875168</v>
      </c>
      <c r="D53" s="7">
        <f t="shared" ca="1" si="11"/>
        <v>0.57917971686977765</v>
      </c>
      <c r="E53" s="5">
        <f t="shared" ca="1" si="12"/>
        <v>6283.5150966486372</v>
      </c>
      <c r="F53" s="5">
        <f t="shared" ca="1" si="13"/>
        <v>928.47834499427495</v>
      </c>
      <c r="G53" s="6">
        <f t="shared" si="17"/>
        <v>1.2420689655172397</v>
      </c>
      <c r="H53">
        <f t="shared" ca="1" si="7"/>
        <v>0.41699867197875168</v>
      </c>
      <c r="I53" s="4">
        <f t="shared" ca="1" si="14"/>
        <v>13</v>
      </c>
      <c r="J53" s="5">
        <f t="shared" ca="1" si="8"/>
        <v>7804.5590959063311</v>
      </c>
      <c r="K53" s="5">
        <f t="shared" ca="1" si="15"/>
        <v>2283.3440954327789</v>
      </c>
      <c r="S53" s="4">
        <v>2008</v>
      </c>
      <c r="T53" s="24">
        <v>39419</v>
      </c>
      <c r="U53" s="6">
        <f t="shared" si="16"/>
        <v>0.48339973439575035</v>
      </c>
      <c r="V53" s="4">
        <v>6370</v>
      </c>
      <c r="W53" s="5">
        <f t="shared" si="9"/>
        <v>987.974559</v>
      </c>
      <c r="X53">
        <v>52</v>
      </c>
      <c r="Y53">
        <f t="shared" si="1"/>
        <v>0.5149820215741111</v>
      </c>
      <c r="Z53">
        <f t="shared" si="2"/>
        <v>0.4850179784258889</v>
      </c>
      <c r="AA53">
        <f t="shared" si="5"/>
        <v>5768.5999767872099</v>
      </c>
      <c r="AC53">
        <v>2015</v>
      </c>
      <c r="AD53">
        <v>9340</v>
      </c>
      <c r="AE53" t="s">
        <v>67</v>
      </c>
      <c r="AF53">
        <v>52</v>
      </c>
      <c r="AG53">
        <f t="shared" si="3"/>
        <v>6.6400000000000001E-2</v>
      </c>
      <c r="AH53">
        <v>11200</v>
      </c>
      <c r="AI53" t="s">
        <v>43</v>
      </c>
      <c r="AJ53">
        <v>6.64</v>
      </c>
      <c r="AK53">
        <f t="shared" si="4"/>
        <v>6.6400000000000001E-2</v>
      </c>
    </row>
    <row r="54" spans="1:37" x14ac:dyDescent="0.3">
      <c r="A54" s="4">
        <v>20</v>
      </c>
      <c r="B54" s="4">
        <f t="shared" ca="1" si="10"/>
        <v>4</v>
      </c>
      <c r="C54" s="8">
        <f t="shared" ca="1" si="18"/>
        <v>0.11819389110225763</v>
      </c>
      <c r="D54" s="7">
        <f t="shared" ca="1" si="11"/>
        <v>0.86554346727720377</v>
      </c>
      <c r="E54" s="5">
        <f t="shared" ca="1" si="12"/>
        <v>9460.8060122690003</v>
      </c>
      <c r="F54" s="5">
        <f t="shared" ca="1" si="13"/>
        <v>4551.4010814048816</v>
      </c>
      <c r="G54" s="6">
        <f t="shared" si="17"/>
        <v>1.2555172413793085</v>
      </c>
      <c r="H54">
        <f t="shared" ca="1" si="7"/>
        <v>0.21779548472775562</v>
      </c>
      <c r="I54" s="4">
        <f t="shared" ca="1" si="14"/>
        <v>7</v>
      </c>
      <c r="J54" s="5">
        <f t="shared" ca="1" si="8"/>
        <v>11878.205065748753</v>
      </c>
      <c r="K54" s="5">
        <f t="shared" ca="1" si="15"/>
        <v>9510.5716764457757</v>
      </c>
      <c r="S54" s="4">
        <v>2009</v>
      </c>
      <c r="T54" s="24">
        <v>39821</v>
      </c>
      <c r="U54" s="6">
        <f t="shared" si="16"/>
        <v>1.8592297476759629E-2</v>
      </c>
      <c r="V54" s="4">
        <v>13800</v>
      </c>
      <c r="W54" s="5">
        <f t="shared" si="9"/>
        <v>14999.236000000001</v>
      </c>
      <c r="X54">
        <v>53</v>
      </c>
      <c r="Y54">
        <f t="shared" si="1"/>
        <v>0.52497003595685177</v>
      </c>
      <c r="Z54">
        <f t="shared" si="2"/>
        <v>0.47502996404314823</v>
      </c>
      <c r="AA54">
        <f t="shared" si="5"/>
        <v>5834.3057037044246</v>
      </c>
      <c r="AC54">
        <v>2016</v>
      </c>
      <c r="AD54">
        <v>5350</v>
      </c>
      <c r="AE54" t="s">
        <v>68</v>
      </c>
      <c r="AF54">
        <v>53</v>
      </c>
      <c r="AG54">
        <f t="shared" si="3"/>
        <v>4.82E-2</v>
      </c>
      <c r="AH54">
        <v>11400</v>
      </c>
      <c r="AI54" t="s">
        <v>48</v>
      </c>
      <c r="AJ54">
        <v>4.82</v>
      </c>
      <c r="AK54">
        <f t="shared" si="4"/>
        <v>4.82E-2</v>
      </c>
    </row>
    <row r="55" spans="1:37" x14ac:dyDescent="0.3">
      <c r="A55" s="4">
        <v>21</v>
      </c>
      <c r="B55" s="4">
        <f t="shared" ca="1" si="10"/>
        <v>2</v>
      </c>
      <c r="C55" s="8">
        <f t="shared" ca="1" si="18"/>
        <v>5.1792828685258967E-2</v>
      </c>
      <c r="D55" s="7">
        <f t="shared" ca="1" si="11"/>
        <v>0.93373428063429742</v>
      </c>
      <c r="E55" s="5">
        <f t="shared" ca="1" si="12"/>
        <v>11327.756604745153</v>
      </c>
      <c r="F55" s="5">
        <f t="shared" ca="1" si="13"/>
        <v>8198.4309886321098</v>
      </c>
      <c r="G55" s="6">
        <f t="shared" si="17"/>
        <v>1.2689655172413774</v>
      </c>
      <c r="H55">
        <f t="shared" ca="1" si="7"/>
        <v>5.1792828685258967E-2</v>
      </c>
      <c r="I55" s="4">
        <f t="shared" ca="1" si="14"/>
        <v>2</v>
      </c>
      <c r="J55" s="5">
        <f t="shared" ca="1" si="8"/>
        <v>14374.532519124861</v>
      </c>
      <c r="K55" s="5">
        <f t="shared" ca="1" si="15"/>
        <v>16927.177425413538</v>
      </c>
      <c r="S55" s="4">
        <v>2010</v>
      </c>
      <c r="T55" s="24">
        <v>40112</v>
      </c>
      <c r="U55" s="6">
        <f t="shared" si="16"/>
        <v>0.78220451527224433</v>
      </c>
      <c r="V55" s="4">
        <v>3650</v>
      </c>
      <c r="W55" s="5">
        <f t="shared" si="9"/>
        <v>0</v>
      </c>
      <c r="X55">
        <v>54</v>
      </c>
      <c r="Y55">
        <f t="shared" si="1"/>
        <v>0.53495805033959254</v>
      </c>
      <c r="Z55">
        <f t="shared" si="2"/>
        <v>0.46504194966040746</v>
      </c>
      <c r="AA55">
        <f t="shared" si="5"/>
        <v>5900.864946476283</v>
      </c>
      <c r="AC55">
        <v>2017</v>
      </c>
      <c r="AD55">
        <v>3550</v>
      </c>
      <c r="AE55" t="s">
        <v>69</v>
      </c>
      <c r="AF55">
        <v>54</v>
      </c>
      <c r="AG55">
        <f t="shared" si="3"/>
        <v>0.03</v>
      </c>
      <c r="AH55">
        <v>11800</v>
      </c>
      <c r="AI55" t="s">
        <v>52</v>
      </c>
      <c r="AJ55">
        <v>3</v>
      </c>
      <c r="AK55">
        <f t="shared" si="4"/>
        <v>0.03</v>
      </c>
    </row>
    <row r="56" spans="1:37" x14ac:dyDescent="0.3">
      <c r="A56" s="4">
        <v>22</v>
      </c>
      <c r="B56" s="4">
        <f t="shared" ca="1" si="10"/>
        <v>21</v>
      </c>
      <c r="C56" s="8">
        <f t="shared" ca="1" si="18"/>
        <v>0.6826029216467463</v>
      </c>
      <c r="D56" s="7">
        <f t="shared" ca="1" si="11"/>
        <v>0.42821726990272535</v>
      </c>
      <c r="E56" s="5">
        <f t="shared" ca="1" si="12"/>
        <v>5290.5644020929831</v>
      </c>
      <c r="F56" s="5">
        <f t="shared" ca="1" si="13"/>
        <v>388.83517647080657</v>
      </c>
      <c r="G56" s="6">
        <f t="shared" si="17"/>
        <v>1.2824137931034463</v>
      </c>
      <c r="H56">
        <f t="shared" ca="1" si="7"/>
        <v>0.48339973439575035</v>
      </c>
      <c r="I56" s="4">
        <f t="shared" ca="1" si="14"/>
        <v>15</v>
      </c>
      <c r="J56" s="5">
        <f t="shared" ca="1" si="8"/>
        <v>6784.6927625461285</v>
      </c>
      <c r="K56" s="5">
        <f t="shared" ca="1" si="15"/>
        <v>1302.0038744987266</v>
      </c>
      <c r="S56" s="4">
        <v>2011</v>
      </c>
      <c r="T56" s="24">
        <v>40524</v>
      </c>
      <c r="U56" s="6">
        <f t="shared" si="16"/>
        <v>0.38379814077025232</v>
      </c>
      <c r="V56" s="4">
        <v>7120</v>
      </c>
      <c r="W56" s="5">
        <f t="shared" si="9"/>
        <v>1591.332384</v>
      </c>
      <c r="X56">
        <v>55</v>
      </c>
      <c r="Y56">
        <f t="shared" si="1"/>
        <v>0.5449460647223332</v>
      </c>
      <c r="Z56">
        <f t="shared" si="2"/>
        <v>0.4550539352776668</v>
      </c>
      <c r="AA56">
        <f t="shared" si="5"/>
        <v>5968.3330101339707</v>
      </c>
      <c r="AC56">
        <v>2018</v>
      </c>
      <c r="AD56">
        <v>4210</v>
      </c>
      <c r="AE56" t="s">
        <v>70</v>
      </c>
      <c r="AF56">
        <v>55</v>
      </c>
      <c r="AG56">
        <f t="shared" si="3"/>
        <v>1.18E-2</v>
      </c>
      <c r="AH56">
        <v>13800</v>
      </c>
      <c r="AI56" t="s">
        <v>61</v>
      </c>
      <c r="AJ56">
        <v>1.18</v>
      </c>
      <c r="AK56">
        <f t="shared" si="4"/>
        <v>1.18E-2</v>
      </c>
    </row>
    <row r="57" spans="1:37" x14ac:dyDescent="0.3">
      <c r="A57" s="4">
        <v>23</v>
      </c>
      <c r="B57" s="4">
        <f t="shared" ca="1" si="10"/>
        <v>26</v>
      </c>
      <c r="C57" s="8">
        <f t="shared" ca="1" si="18"/>
        <v>0.84860557768924294</v>
      </c>
      <c r="D57" s="7">
        <f t="shared" ca="1" si="11"/>
        <v>0.2274157827923593</v>
      </c>
      <c r="E57" s="5">
        <f t="shared" ca="1" si="12"/>
        <v>4095.9318251376085</v>
      </c>
      <c r="F57" s="5">
        <f t="shared" ca="1" si="13"/>
        <v>71.505810124608161</v>
      </c>
      <c r="G57" s="6">
        <f t="shared" si="17"/>
        <v>1.2958620689655151</v>
      </c>
      <c r="H57">
        <f t="shared" ca="1" si="7"/>
        <v>0.78220451527224433</v>
      </c>
      <c r="I57" s="4">
        <f t="shared" ca="1" si="14"/>
        <v>24</v>
      </c>
      <c r="J57" s="5">
        <f t="shared" ca="1" si="8"/>
        <v>5307.7626892645203</v>
      </c>
      <c r="K57" s="5">
        <f t="shared" ca="1" si="15"/>
        <v>395.98960542041755</v>
      </c>
      <c r="S57" s="4">
        <v>2012</v>
      </c>
      <c r="T57" s="24">
        <v>40961</v>
      </c>
      <c r="U57" s="6">
        <f t="shared" si="16"/>
        <v>0.51660026560424965</v>
      </c>
      <c r="V57" s="4">
        <v>6300</v>
      </c>
      <c r="W57" s="5">
        <f t="shared" si="9"/>
        <v>939.66100000000074</v>
      </c>
      <c r="X57">
        <v>56</v>
      </c>
      <c r="Y57">
        <f t="shared" si="1"/>
        <v>0.55493407910507386</v>
      </c>
      <c r="Z57">
        <f t="shared" si="2"/>
        <v>0.44506592089492614</v>
      </c>
      <c r="AA57">
        <f t="shared" si="5"/>
        <v>6036.7680373932235</v>
      </c>
    </row>
    <row r="58" spans="1:37" x14ac:dyDescent="0.3">
      <c r="A58" s="4">
        <v>24</v>
      </c>
      <c r="B58" s="4">
        <f t="shared" ca="1" si="10"/>
        <v>27</v>
      </c>
      <c r="C58" s="8">
        <f t="shared" ca="1" si="18"/>
        <v>0.88180610889774225</v>
      </c>
      <c r="D58" s="7">
        <f t="shared" ca="1" si="11"/>
        <v>0.18111556969315135</v>
      </c>
      <c r="E58" s="5">
        <f t="shared" ca="1" si="12"/>
        <v>3803.8652518081276</v>
      </c>
      <c r="F58" s="5">
        <f t="shared" ca="1" si="13"/>
        <v>0</v>
      </c>
      <c r="G58" s="6">
        <f t="shared" si="17"/>
        <v>1.309310344827584</v>
      </c>
      <c r="H58">
        <f t="shared" ca="1" si="7"/>
        <v>0.88180610889774225</v>
      </c>
      <c r="I58" s="4">
        <f t="shared" ca="1" si="14"/>
        <v>27</v>
      </c>
      <c r="J58" s="5">
        <f t="shared" ca="1" si="8"/>
        <v>4980.4401245225645</v>
      </c>
      <c r="K58" s="5">
        <f t="shared" ca="1" si="15"/>
        <v>272.68961952840414</v>
      </c>
      <c r="S58" s="4">
        <v>2013</v>
      </c>
      <c r="T58" s="24">
        <v>41346</v>
      </c>
      <c r="U58" s="6">
        <f t="shared" si="16"/>
        <v>0.91500664010624166</v>
      </c>
      <c r="V58" s="4">
        <v>3170</v>
      </c>
      <c r="W58" s="5">
        <f t="shared" si="9"/>
        <v>0</v>
      </c>
      <c r="X58">
        <v>57</v>
      </c>
      <c r="Y58">
        <f t="shared" si="1"/>
        <v>0.56492209348781464</v>
      </c>
      <c r="Z58">
        <f t="shared" si="2"/>
        <v>0.43507790651218536</v>
      </c>
      <c r="AA58">
        <f t="shared" si="5"/>
        <v>6106.231328041481</v>
      </c>
    </row>
    <row r="59" spans="1:37" x14ac:dyDescent="0.3">
      <c r="A59" s="4">
        <v>25</v>
      </c>
      <c r="B59" s="4">
        <f t="shared" ca="1" si="10"/>
        <v>28</v>
      </c>
      <c r="C59" s="8">
        <f t="shared" ca="1" si="18"/>
        <v>0.91500664010624166</v>
      </c>
      <c r="D59" s="7">
        <f t="shared" ca="1" si="11"/>
        <v>0.14738232067905099</v>
      </c>
      <c r="E59" s="5">
        <f t="shared" ca="1" si="12"/>
        <v>3576.1966780119392</v>
      </c>
      <c r="F59" s="5">
        <f t="shared" ca="1" si="13"/>
        <v>0</v>
      </c>
      <c r="G59" s="6">
        <f t="shared" si="17"/>
        <v>1.3227586206896529</v>
      </c>
      <c r="H59">
        <f t="shared" ca="1" si="7"/>
        <v>0.91500664010624166</v>
      </c>
      <c r="I59" s="4">
        <f t="shared" ca="1" si="14"/>
        <v>28</v>
      </c>
      <c r="J59" s="5">
        <f t="shared" ca="1" si="8"/>
        <v>4730.4449851219915</v>
      </c>
      <c r="K59" s="5">
        <f t="shared" ca="1" si="15"/>
        <v>196.56720366509558</v>
      </c>
      <c r="S59" s="4">
        <v>2014</v>
      </c>
      <c r="T59" s="24">
        <v>41707</v>
      </c>
      <c r="U59" s="6">
        <f t="shared" si="16"/>
        <v>0.54980079681274896</v>
      </c>
      <c r="V59" s="4">
        <v>5740</v>
      </c>
      <c r="W59" s="5">
        <f t="shared" si="9"/>
        <v>600.86167200000023</v>
      </c>
      <c r="X59">
        <v>58</v>
      </c>
      <c r="Y59">
        <f t="shared" si="1"/>
        <v>0.5749101078705553</v>
      </c>
      <c r="Z59">
        <f t="shared" si="2"/>
        <v>0.4250898921294447</v>
      </c>
      <c r="AA59">
        <f t="shared" si="5"/>
        <v>6176.787690681268</v>
      </c>
    </row>
    <row r="60" spans="1:37" x14ac:dyDescent="0.3">
      <c r="A60" s="4">
        <v>26</v>
      </c>
      <c r="B60" s="4">
        <f t="shared" ca="1" si="10"/>
        <v>6</v>
      </c>
      <c r="C60" s="8">
        <f t="shared" ca="1" si="18"/>
        <v>0.18459495351925628</v>
      </c>
      <c r="D60" s="7">
        <f t="shared" ca="1" si="11"/>
        <v>0.8339063007975589</v>
      </c>
      <c r="E60" s="5">
        <f t="shared" ca="1" si="12"/>
        <v>8897.5844898008072</v>
      </c>
      <c r="F60" s="5">
        <f t="shared" ca="1" si="13"/>
        <v>3682.5599127843261</v>
      </c>
      <c r="G60" s="6">
        <f t="shared" si="17"/>
        <v>1.3362068965517218</v>
      </c>
      <c r="H60">
        <f t="shared" ca="1" si="7"/>
        <v>0.15139442231075695</v>
      </c>
      <c r="I60" s="4">
        <f t="shared" ca="1" si="14"/>
        <v>5</v>
      </c>
      <c r="J60" s="5">
        <f t="shared" ca="1" si="8"/>
        <v>11889.013757923471</v>
      </c>
      <c r="K60" s="5">
        <f t="shared" ca="1" si="15"/>
        <v>9537.4610992747766</v>
      </c>
      <c r="S60" s="4">
        <v>2015</v>
      </c>
      <c r="T60" s="24">
        <v>42009</v>
      </c>
      <c r="U60" s="6">
        <f t="shared" si="16"/>
        <v>0.25099601593625498</v>
      </c>
      <c r="V60" s="4">
        <v>9340</v>
      </c>
      <c r="W60" s="5">
        <f t="shared" si="9"/>
        <v>4356.3255120000013</v>
      </c>
      <c r="X60">
        <v>59</v>
      </c>
      <c r="Y60">
        <f t="shared" si="1"/>
        <v>0.58489812225329607</v>
      </c>
      <c r="Z60">
        <f t="shared" si="2"/>
        <v>0.41510187774670393</v>
      </c>
      <c r="AA60">
        <f t="shared" si="5"/>
        <v>6248.5058319835352</v>
      </c>
    </row>
    <row r="61" spans="1:37" x14ac:dyDescent="0.3">
      <c r="A61" s="4">
        <v>27</v>
      </c>
      <c r="B61" s="4">
        <f t="shared" ca="1" si="10"/>
        <v>9</v>
      </c>
      <c r="C61" s="8">
        <f t="shared" ca="1" si="18"/>
        <v>0.28419654714475434</v>
      </c>
      <c r="D61" s="7">
        <f t="shared" ca="1" si="11"/>
        <v>0.77546682790270949</v>
      </c>
      <c r="E61" s="5">
        <f t="shared" ca="1" si="12"/>
        <v>8082.1815190060061</v>
      </c>
      <c r="F61" s="5">
        <f t="shared" ca="1" si="13"/>
        <v>2603.795674390828</v>
      </c>
      <c r="G61" s="6">
        <f t="shared" si="17"/>
        <v>1.3496551724137906</v>
      </c>
      <c r="H61">
        <f t="shared" ca="1" si="7"/>
        <v>0.25099601593625498</v>
      </c>
      <c r="I61" s="4">
        <f t="shared" ca="1" si="14"/>
        <v>8</v>
      </c>
      <c r="J61" s="5">
        <f t="shared" ca="1" si="8"/>
        <v>10908.158091513604</v>
      </c>
      <c r="K61" s="5">
        <f t="shared" ca="1" si="15"/>
        <v>7272.4249028017839</v>
      </c>
      <c r="S61" s="4">
        <v>2016</v>
      </c>
      <c r="T61" s="24">
        <v>42307</v>
      </c>
      <c r="U61" s="6">
        <f t="shared" si="16"/>
        <v>0.58300132802124827</v>
      </c>
      <c r="V61" s="4">
        <v>5350</v>
      </c>
      <c r="W61" s="5">
        <f t="shared" si="9"/>
        <v>413.88112500000011</v>
      </c>
      <c r="X61">
        <v>60</v>
      </c>
      <c r="Y61">
        <f t="shared" si="1"/>
        <v>0.59488613663603673</v>
      </c>
      <c r="Z61">
        <f t="shared" si="2"/>
        <v>0.40511386336396327</v>
      </c>
      <c r="AA61">
        <f t="shared" si="5"/>
        <v>6321.4587894295728</v>
      </c>
    </row>
    <row r="62" spans="1:37" x14ac:dyDescent="0.3">
      <c r="A62" s="4">
        <v>28</v>
      </c>
      <c r="B62" s="4">
        <f t="shared" ca="1" si="10"/>
        <v>5</v>
      </c>
      <c r="C62" s="8">
        <f t="shared" ca="1" si="18"/>
        <v>0.15139442231075695</v>
      </c>
      <c r="D62" s="7">
        <f t="shared" ca="1" si="11"/>
        <v>0.84477379369617045</v>
      </c>
      <c r="E62" s="5">
        <f t="shared" ca="1" si="12"/>
        <v>9078.5104943447895</v>
      </c>
      <c r="F62" s="5">
        <f t="shared" ca="1" si="13"/>
        <v>3950.4348171306629</v>
      </c>
      <c r="G62" s="6">
        <f t="shared" si="17"/>
        <v>1.3631034482758595</v>
      </c>
      <c r="H62">
        <f t="shared" ca="1" si="7"/>
        <v>8.4993359893758294E-2</v>
      </c>
      <c r="I62" s="4">
        <f t="shared" ca="1" si="14"/>
        <v>3</v>
      </c>
      <c r="J62" s="5">
        <f t="shared" ca="1" si="8"/>
        <v>12374.94896004996</v>
      </c>
      <c r="K62" s="5">
        <f t="shared" ca="1" si="15"/>
        <v>10791.834239863625</v>
      </c>
      <c r="S62" s="4">
        <v>2017</v>
      </c>
      <c r="T62" s="24">
        <v>42809</v>
      </c>
      <c r="U62" s="6">
        <f t="shared" si="16"/>
        <v>0.84860557768924294</v>
      </c>
      <c r="V62" s="4">
        <v>3550</v>
      </c>
      <c r="W62" s="5">
        <f t="shared" si="9"/>
        <v>0</v>
      </c>
      <c r="X62">
        <v>61</v>
      </c>
      <c r="Y62">
        <f t="shared" si="1"/>
        <v>0.60487415101877751</v>
      </c>
      <c r="Z62">
        <f t="shared" si="2"/>
        <v>0.39512584898122249</v>
      </c>
      <c r="AA62">
        <f t="shared" si="5"/>
        <v>6395.7244145196</v>
      </c>
    </row>
    <row r="63" spans="1:37" x14ac:dyDescent="0.3">
      <c r="A63" s="4">
        <v>29</v>
      </c>
      <c r="B63" s="4">
        <f t="shared" ca="1" si="10"/>
        <v>1</v>
      </c>
      <c r="C63" s="8">
        <f t="shared" ca="1" si="18"/>
        <v>1.8592297476759629E-2</v>
      </c>
      <c r="D63" s="7">
        <f t="shared" ca="1" si="11"/>
        <v>0.98858475541386515</v>
      </c>
      <c r="E63" s="5">
        <f t="shared" ca="1" si="12"/>
        <v>16055.874318476461</v>
      </c>
      <c r="F63" s="5">
        <f t="shared" ca="1" si="13"/>
        <v>23375.920964389446</v>
      </c>
      <c r="G63" s="6">
        <f t="shared" si="17"/>
        <v>1.3765517241379284</v>
      </c>
      <c r="H63">
        <f t="shared" ca="1" si="7"/>
        <v>1.8592297476759629E-2</v>
      </c>
      <c r="I63" s="4">
        <f t="shared" ca="1" si="14"/>
        <v>1</v>
      </c>
      <c r="J63" s="5">
        <f t="shared" ca="1" si="8"/>
        <v>22101.741475640658</v>
      </c>
      <c r="K63" s="5">
        <f t="shared" ca="1" si="15"/>
        <v>57664.644476546957</v>
      </c>
      <c r="S63" s="4">
        <v>2018</v>
      </c>
      <c r="T63" s="24">
        <v>43135</v>
      </c>
      <c r="U63" s="6">
        <f t="shared" si="16"/>
        <v>0.6826029216467463</v>
      </c>
      <c r="V63" s="4">
        <v>4730</v>
      </c>
      <c r="W63" s="5">
        <f t="shared" si="9"/>
        <v>196.44545100000028</v>
      </c>
      <c r="X63">
        <v>62</v>
      </c>
      <c r="Y63">
        <f t="shared" si="1"/>
        <v>0.61486216540151817</v>
      </c>
      <c r="Z63">
        <f t="shared" si="2"/>
        <v>0.38513783459848183</v>
      </c>
      <c r="AA63">
        <f t="shared" si="5"/>
        <v>6471.3859146366876</v>
      </c>
    </row>
    <row r="64" spans="1:37" x14ac:dyDescent="0.3">
      <c r="A64" s="4">
        <v>30</v>
      </c>
      <c r="B64" s="4">
        <f t="shared" ca="1" si="10"/>
        <v>7</v>
      </c>
      <c r="C64" s="8">
        <f t="shared" ca="1" si="18"/>
        <v>0.21779548472775562</v>
      </c>
      <c r="D64" s="7">
        <f t="shared" ca="1" si="11"/>
        <v>0.8108723179970222</v>
      </c>
      <c r="E64" s="5">
        <f t="shared" ca="1" si="12"/>
        <v>8548.4460792187438</v>
      </c>
      <c r="F64" s="5">
        <f t="shared" ca="1" si="13"/>
        <v>3195.1651950640517</v>
      </c>
      <c r="G64" s="6">
        <v>1.39</v>
      </c>
      <c r="H64">
        <f t="shared" ca="1" si="7"/>
        <v>0.18459495351925628</v>
      </c>
      <c r="I64" s="4">
        <f t="shared" ca="1" si="14"/>
        <v>6</v>
      </c>
      <c r="J64" s="5">
        <f t="shared" ca="1" si="8"/>
        <v>11882.340050114053</v>
      </c>
      <c r="K64" s="5">
        <f t="shared" ca="1" si="15"/>
        <v>9520.8533626494973</v>
      </c>
      <c r="S64" s="4">
        <v>2019</v>
      </c>
      <c r="T64" s="24">
        <v>43406</v>
      </c>
      <c r="U64" s="6">
        <f t="shared" si="16"/>
        <v>0.41699867197875168</v>
      </c>
      <c r="V64" s="4">
        <v>7050</v>
      </c>
      <c r="W64" s="5">
        <f t="shared" si="9"/>
        <v>1528.2778750000004</v>
      </c>
      <c r="X64">
        <v>63</v>
      </c>
      <c r="Y64">
        <f t="shared" si="1"/>
        <v>0.62485017978425883</v>
      </c>
      <c r="Z64">
        <f t="shared" si="2"/>
        <v>0.37514982021574117</v>
      </c>
      <c r="AA64">
        <f t="shared" si="5"/>
        <v>6548.5324632291877</v>
      </c>
    </row>
    <row r="65" spans="1:27" x14ac:dyDescent="0.3">
      <c r="F65" s="10"/>
      <c r="S65" s="4"/>
      <c r="T65" s="4"/>
      <c r="U65" s="4"/>
      <c r="V65" s="4"/>
      <c r="W65" s="5"/>
      <c r="X65">
        <v>64</v>
      </c>
      <c r="Y65">
        <f t="shared" si="1"/>
        <v>0.6348381941669996</v>
      </c>
      <c r="Z65">
        <f t="shared" si="2"/>
        <v>0.3651618058330004</v>
      </c>
      <c r="AA65">
        <f t="shared" si="5"/>
        <v>6627.2598897731714</v>
      </c>
    </row>
    <row r="66" spans="1:27" x14ac:dyDescent="0.3">
      <c r="A66" t="s">
        <v>80</v>
      </c>
      <c r="B66" s="1">
        <f ca="1">SUM(F35:F64)</f>
        <v>71414.630220940307</v>
      </c>
      <c r="F66" s="1" t="str">
        <f ca="1">"Total Sediment, Current Hydrology = "&amp;ROUND(SUM(F35:F64),-2)&amp;" cubic yards"</f>
        <v>Total Sediment, Current Hydrology = 71400 cubic yards</v>
      </c>
      <c r="H66" s="9"/>
      <c r="K66" s="1" t="str">
        <f ca="1">"Total Sediment, Changing Hydrology = "&amp;ROUND(SUM(K35:K64),-2)&amp;" cubic yards"</f>
        <v>Total Sediment, Changing Hydrology = 159600 cubic yards</v>
      </c>
      <c r="S66" s="4"/>
      <c r="T66" s="4"/>
      <c r="U66" s="4"/>
      <c r="V66" s="4"/>
      <c r="W66" s="5">
        <f>SUM(W35:W64)</f>
        <v>80513.652428000016</v>
      </c>
      <c r="X66">
        <v>65</v>
      </c>
      <c r="Y66">
        <f t="shared" si="1"/>
        <v>0.64482620854974027</v>
      </c>
      <c r="Z66">
        <f t="shared" si="2"/>
        <v>0.35517379145025973</v>
      </c>
      <c r="AA66">
        <f t="shared" ref="AA66:AA101" si="19">10^(NORMINV(Y66,3.7537,0.196214))</f>
        <v>6707.6714631821351</v>
      </c>
    </row>
    <row r="67" spans="1:27" x14ac:dyDescent="0.3">
      <c r="A67" t="s">
        <v>83</v>
      </c>
      <c r="B67" s="1">
        <f ca="1">SUM(K35:K64)</f>
        <v>159639.31273917662</v>
      </c>
      <c r="W67" s="5"/>
      <c r="X67">
        <v>66</v>
      </c>
      <c r="Y67">
        <f t="shared" ref="Y67:Y101" si="20">(X67-0.44)/(100+0.12)</f>
        <v>0.65481422293248104</v>
      </c>
      <c r="Z67">
        <f t="shared" ref="Z67:Z101" si="21">1-Y67</f>
        <v>0.34518577706751896</v>
      </c>
      <c r="AA67">
        <f t="shared" si="19"/>
        <v>6789.8787850469516</v>
      </c>
    </row>
    <row r="68" spans="1:27" x14ac:dyDescent="0.3">
      <c r="A68" t="s">
        <v>81</v>
      </c>
      <c r="B68">
        <f ca="1">(SUM(K35:K64)-SUM(F35:F64))/SUM(F35:F64)*100</f>
        <v>123.53866742051258</v>
      </c>
      <c r="F68" t="str">
        <f ca="1">"Increase = "&amp;ROUND((SUM(K35:K64)-SUM(F35:F64))/SUM(F35:F64)*100,0)&amp;"%"</f>
        <v>Increase = 124%</v>
      </c>
      <c r="W68" s="5"/>
      <c r="X68">
        <v>67</v>
      </c>
      <c r="Y68">
        <f t="shared" si="20"/>
        <v>0.6648022373152217</v>
      </c>
      <c r="Z68">
        <f t="shared" si="21"/>
        <v>0.3351977626847783</v>
      </c>
      <c r="AA68">
        <f t="shared" si="19"/>
        <v>6874.0028124507626</v>
      </c>
    </row>
    <row r="69" spans="1:27" x14ac:dyDescent="0.3">
      <c r="A69" t="s">
        <v>82</v>
      </c>
      <c r="B69">
        <f ca="1">(SUM(F35:F64)-W66)/W66*100</f>
        <v>-11.301216542370355</v>
      </c>
      <c r="F69" t="str">
        <f ca="1">"Difference from Historical = "&amp;ROUND((SUM(F35:F64)-W66)/W66*100,0)&amp;"%"</f>
        <v>Difference from Historical = -11%</v>
      </c>
      <c r="W69" s="5"/>
      <c r="X69">
        <v>68</v>
      </c>
      <c r="Y69">
        <f t="shared" si="20"/>
        <v>0.67479025169796247</v>
      </c>
      <c r="Z69">
        <f t="shared" si="21"/>
        <v>0.32520974830203753</v>
      </c>
      <c r="AA69">
        <f t="shared" si="19"/>
        <v>6960.1750342870655</v>
      </c>
    </row>
    <row r="70" spans="1:27" x14ac:dyDescent="0.3">
      <c r="W70" s="5"/>
      <c r="X70">
        <v>69</v>
      </c>
      <c r="Y70">
        <f t="shared" si="20"/>
        <v>0.68477826608070314</v>
      </c>
      <c r="Z70">
        <f t="shared" si="21"/>
        <v>0.31522173391929686</v>
      </c>
      <c r="AA70">
        <f t="shared" si="19"/>
        <v>7048.5388302466536</v>
      </c>
    </row>
    <row r="71" spans="1:27" x14ac:dyDescent="0.3">
      <c r="W71" s="5"/>
      <c r="X71">
        <v>70</v>
      </c>
      <c r="Y71">
        <f t="shared" si="20"/>
        <v>0.69476628046344391</v>
      </c>
      <c r="Z71">
        <f t="shared" si="21"/>
        <v>0.30523371953655609</v>
      </c>
      <c r="AA71">
        <f t="shared" si="19"/>
        <v>7139.2510482372099</v>
      </c>
    </row>
    <row r="72" spans="1:27" x14ac:dyDescent="0.3">
      <c r="W72" s="5"/>
      <c r="X72">
        <v>71</v>
      </c>
      <c r="Y72">
        <f t="shared" si="20"/>
        <v>0.70475429484618457</v>
      </c>
      <c r="Z72">
        <f t="shared" si="21"/>
        <v>0.29524570515381543</v>
      </c>
      <c r="AA72">
        <f t="shared" si="19"/>
        <v>7232.4838443671024</v>
      </c>
    </row>
    <row r="73" spans="1:27" x14ac:dyDescent="0.3">
      <c r="W73" s="5"/>
      <c r="X73">
        <v>72</v>
      </c>
      <c r="Y73">
        <f t="shared" si="20"/>
        <v>0.71474230922892523</v>
      </c>
      <c r="Z73">
        <f t="shared" si="21"/>
        <v>0.28525769077107477</v>
      </c>
      <c r="AA73">
        <f t="shared" si="19"/>
        <v>7328.4268403147598</v>
      </c>
    </row>
    <row r="74" spans="1:27" x14ac:dyDescent="0.3">
      <c r="W74" s="5"/>
      <c r="X74">
        <v>73</v>
      </c>
      <c r="Y74">
        <f t="shared" si="20"/>
        <v>0.72473032361166601</v>
      </c>
      <c r="Z74">
        <f t="shared" si="21"/>
        <v>0.27526967638833399</v>
      </c>
      <c r="AA74">
        <f t="shared" si="19"/>
        <v>7427.2896666648921</v>
      </c>
    </row>
    <row r="75" spans="1:27" x14ac:dyDescent="0.3">
      <c r="W75" s="5"/>
      <c r="X75">
        <v>74</v>
      </c>
      <c r="Y75">
        <f t="shared" si="20"/>
        <v>0.73471833799440667</v>
      </c>
      <c r="Z75">
        <f t="shared" si="21"/>
        <v>0.26528166200559333</v>
      </c>
      <c r="AA75">
        <f t="shared" si="19"/>
        <v>7529.3049786515357</v>
      </c>
    </row>
    <row r="76" spans="1:27" x14ac:dyDescent="0.3">
      <c r="W76" s="5"/>
      <c r="X76">
        <v>75</v>
      </c>
      <c r="Y76">
        <f t="shared" si="20"/>
        <v>0.74470635237714744</v>
      </c>
      <c r="Z76">
        <f t="shared" si="21"/>
        <v>0.25529364762285256</v>
      </c>
      <c r="AA76">
        <f t="shared" si="19"/>
        <v>7634.732054128679</v>
      </c>
    </row>
    <row r="77" spans="1:27" x14ac:dyDescent="0.3">
      <c r="W77" s="5"/>
      <c r="X77">
        <v>76</v>
      </c>
      <c r="Y77">
        <f t="shared" si="20"/>
        <v>0.7546943667598881</v>
      </c>
      <c r="Z77">
        <f t="shared" si="21"/>
        <v>0.2453056332401119</v>
      </c>
      <c r="AA77">
        <f t="shared" si="19"/>
        <v>7743.86111449091</v>
      </c>
    </row>
    <row r="78" spans="1:27" x14ac:dyDescent="0.3">
      <c r="W78" s="5"/>
      <c r="X78">
        <v>77</v>
      </c>
      <c r="Y78">
        <f t="shared" si="20"/>
        <v>0.76468238114262888</v>
      </c>
      <c r="Z78">
        <f t="shared" si="21"/>
        <v>0.23531761885737112</v>
      </c>
      <c r="AA78">
        <f t="shared" si="19"/>
        <v>7857.0185505188256</v>
      </c>
    </row>
    <row r="79" spans="1:27" x14ac:dyDescent="0.3">
      <c r="W79" s="5"/>
      <c r="X79">
        <v>78</v>
      </c>
      <c r="Y79">
        <f t="shared" si="20"/>
        <v>0.77467039552536954</v>
      </c>
      <c r="Z79">
        <f t="shared" si="21"/>
        <v>0.22532960447463046</v>
      </c>
      <c r="AA79">
        <f t="shared" si="19"/>
        <v>7974.5732907983484</v>
      </c>
    </row>
    <row r="80" spans="1:27" x14ac:dyDescent="0.3">
      <c r="W80" s="5"/>
      <c r="X80">
        <v>79</v>
      </c>
      <c r="Y80">
        <f t="shared" si="20"/>
        <v>0.7846584099081102</v>
      </c>
      <c r="Z80">
        <f t="shared" si="21"/>
        <v>0.2153415900918898</v>
      </c>
      <c r="AA80">
        <f t="shared" si="19"/>
        <v>8096.9446263839072</v>
      </c>
    </row>
    <row r="81" spans="23:27" x14ac:dyDescent="0.3">
      <c r="W81" s="5"/>
      <c r="X81">
        <v>80</v>
      </c>
      <c r="Y81">
        <f t="shared" si="20"/>
        <v>0.79464642429085097</v>
      </c>
      <c r="Z81">
        <f t="shared" si="21"/>
        <v>0.20535357570914903</v>
      </c>
      <c r="AA81">
        <f t="shared" si="19"/>
        <v>8224.6119105048419</v>
      </c>
    </row>
    <row r="82" spans="23:27" x14ac:dyDescent="0.3">
      <c r="W82" s="5"/>
      <c r="X82">
        <v>81</v>
      </c>
      <c r="Y82">
        <f t="shared" si="20"/>
        <v>0.80463443867359163</v>
      </c>
      <c r="Z82">
        <f t="shared" si="21"/>
        <v>0.19536556132640837</v>
      </c>
      <c r="AA82">
        <f t="shared" si="19"/>
        <v>8358.126699511542</v>
      </c>
    </row>
    <row r="83" spans="23:27" x14ac:dyDescent="0.3">
      <c r="W83" s="5"/>
      <c r="X83">
        <v>82</v>
      </c>
      <c r="Y83">
        <f t="shared" si="20"/>
        <v>0.81462245305633241</v>
      </c>
      <c r="Z83">
        <f t="shared" si="21"/>
        <v>0.18537754694366759</v>
      </c>
      <c r="AA83">
        <f t="shared" si="19"/>
        <v>8498.1281110428026</v>
      </c>
    </row>
    <row r="84" spans="23:27" x14ac:dyDescent="0.3">
      <c r="W84" s="5"/>
      <c r="X84">
        <v>83</v>
      </c>
      <c r="Y84">
        <f t="shared" si="20"/>
        <v>0.82461046743907307</v>
      </c>
      <c r="Z84">
        <f t="shared" si="21"/>
        <v>0.17538953256092693</v>
      </c>
      <c r="AA84">
        <f t="shared" si="19"/>
        <v>8645.3624789148944</v>
      </c>
    </row>
    <row r="85" spans="23:27" x14ac:dyDescent="0.3">
      <c r="W85" s="5"/>
      <c r="X85">
        <v>84</v>
      </c>
      <c r="Y85">
        <f t="shared" si="20"/>
        <v>0.83459848182181384</v>
      </c>
      <c r="Z85">
        <f t="shared" si="21"/>
        <v>0.16540151817818616</v>
      </c>
      <c r="AA85">
        <f t="shared" si="19"/>
        <v>8800.70883136255</v>
      </c>
    </row>
    <row r="86" spans="23:27" x14ac:dyDescent="0.3">
      <c r="W86" s="5"/>
      <c r="X86">
        <v>85</v>
      </c>
      <c r="Y86">
        <f t="shared" si="20"/>
        <v>0.8445864962045545</v>
      </c>
      <c r="Z86">
        <f t="shared" si="21"/>
        <v>0.1554135037954455</v>
      </c>
      <c r="AA86">
        <f t="shared" si="19"/>
        <v>8965.2123912061616</v>
      </c>
    </row>
    <row r="87" spans="23:27" x14ac:dyDescent="0.3">
      <c r="W87" s="5"/>
      <c r="X87">
        <v>86</v>
      </c>
      <c r="Y87">
        <f t="shared" si="20"/>
        <v>0.85457451058729528</v>
      </c>
      <c r="Z87">
        <f t="shared" si="21"/>
        <v>0.14542548941270472</v>
      </c>
      <c r="AA87">
        <f t="shared" si="19"/>
        <v>9140.1293288969027</v>
      </c>
    </row>
    <row r="88" spans="23:27" x14ac:dyDescent="0.3">
      <c r="W88" s="5"/>
      <c r="X88">
        <v>87</v>
      </c>
      <c r="Y88">
        <f t="shared" si="20"/>
        <v>0.86456252497003594</v>
      </c>
      <c r="Z88">
        <f t="shared" si="21"/>
        <v>0.13543747502996406</v>
      </c>
      <c r="AA88">
        <f t="shared" si="19"/>
        <v>9326.9876252179129</v>
      </c>
    </row>
    <row r="89" spans="23:27" x14ac:dyDescent="0.3">
      <c r="W89" s="5"/>
      <c r="X89">
        <v>88</v>
      </c>
      <c r="Y89">
        <f t="shared" si="20"/>
        <v>0.8745505393527766</v>
      </c>
      <c r="Z89">
        <f t="shared" si="21"/>
        <v>0.1254494606472234</v>
      </c>
      <c r="AA89">
        <f t="shared" si="19"/>
        <v>9527.6715329824438</v>
      </c>
    </row>
    <row r="90" spans="23:27" x14ac:dyDescent="0.3">
      <c r="W90" s="5"/>
      <c r="X90">
        <v>89</v>
      </c>
      <c r="Y90">
        <f t="shared" si="20"/>
        <v>0.88453855373551737</v>
      </c>
      <c r="Z90">
        <f t="shared" si="21"/>
        <v>0.11546144626448263</v>
      </c>
      <c r="AA90">
        <f t="shared" si="19"/>
        <v>9744.5415261644994</v>
      </c>
    </row>
    <row r="91" spans="23:27" x14ac:dyDescent="0.3">
      <c r="W91" s="5"/>
      <c r="X91">
        <v>90</v>
      </c>
      <c r="Y91">
        <f t="shared" si="20"/>
        <v>0.89452656811825804</v>
      </c>
      <c r="Z91">
        <f t="shared" si="21"/>
        <v>0.10547343188174196</v>
      </c>
      <c r="AA91">
        <f t="shared" si="19"/>
        <v>9980.6092456120587</v>
      </c>
    </row>
    <row r="92" spans="23:27" x14ac:dyDescent="0.3">
      <c r="W92" s="5"/>
      <c r="X92">
        <v>91</v>
      </c>
      <c r="Y92">
        <f t="shared" si="20"/>
        <v>0.90451458250099881</v>
      </c>
      <c r="Z92">
        <f t="shared" si="21"/>
        <v>9.5485417499001191E-2</v>
      </c>
      <c r="AA92">
        <f t="shared" si="19"/>
        <v>10239.80071353484</v>
      </c>
    </row>
    <row r="93" spans="23:27" x14ac:dyDescent="0.3">
      <c r="W93" s="5"/>
      <c r="X93">
        <v>92</v>
      </c>
      <c r="Y93">
        <f t="shared" si="20"/>
        <v>0.91450259688373947</v>
      </c>
      <c r="Z93">
        <f t="shared" si="21"/>
        <v>8.5497403116260529E-2</v>
      </c>
      <c r="AA93">
        <f t="shared" si="19"/>
        <v>10527.36718653535</v>
      </c>
    </row>
    <row r="94" spans="23:27" x14ac:dyDescent="0.3">
      <c r="W94" s="5"/>
      <c r="X94">
        <v>93</v>
      </c>
      <c r="Y94">
        <f t="shared" si="20"/>
        <v>0.92449061126648024</v>
      </c>
      <c r="Z94">
        <f t="shared" si="21"/>
        <v>7.5509388733519756E-2</v>
      </c>
      <c r="AA94">
        <f t="shared" si="19"/>
        <v>10850.555453163834</v>
      </c>
    </row>
    <row r="95" spans="23:27" x14ac:dyDescent="0.3">
      <c r="W95" s="5"/>
      <c r="X95">
        <v>94</v>
      </c>
      <c r="Y95">
        <f t="shared" si="20"/>
        <v>0.93447862564922091</v>
      </c>
      <c r="Z95">
        <f t="shared" si="21"/>
        <v>6.5521374350779094E-2</v>
      </c>
      <c r="AA95">
        <f t="shared" si="19"/>
        <v>11219.762385045608</v>
      </c>
    </row>
    <row r="96" spans="23:27" x14ac:dyDescent="0.3">
      <c r="W96" s="5"/>
      <c r="X96">
        <v>95</v>
      </c>
      <c r="Y96">
        <f t="shared" si="20"/>
        <v>0.94446664003196168</v>
      </c>
      <c r="Z96">
        <f t="shared" si="21"/>
        <v>5.5533359968038321E-2</v>
      </c>
      <c r="AA96">
        <f t="shared" si="19"/>
        <v>11650.664158449323</v>
      </c>
    </row>
    <row r="97" spans="23:27" x14ac:dyDescent="0.3">
      <c r="W97" s="5"/>
      <c r="X97">
        <v>96</v>
      </c>
      <c r="Y97">
        <f t="shared" si="20"/>
        <v>0.95445465441470234</v>
      </c>
      <c r="Z97">
        <f t="shared" si="21"/>
        <v>4.5545345585297659E-2</v>
      </c>
      <c r="AA97">
        <f t="shared" si="19"/>
        <v>12168.508066295462</v>
      </c>
    </row>
    <row r="98" spans="23:27" x14ac:dyDescent="0.3">
      <c r="W98" s="5"/>
      <c r="X98">
        <v>97</v>
      </c>
      <c r="Y98">
        <f t="shared" si="20"/>
        <v>0.964442668797443</v>
      </c>
      <c r="Z98">
        <f t="shared" si="21"/>
        <v>3.5557331202556997E-2</v>
      </c>
      <c r="AA98">
        <f t="shared" si="19"/>
        <v>12817.878493077244</v>
      </c>
    </row>
    <row r="99" spans="23:27" x14ac:dyDescent="0.3">
      <c r="W99" s="5"/>
      <c r="X99">
        <v>98</v>
      </c>
      <c r="Y99">
        <f t="shared" si="20"/>
        <v>0.97443068318018378</v>
      </c>
      <c r="Z99">
        <f t="shared" si="21"/>
        <v>2.5569316819816224E-2</v>
      </c>
      <c r="AA99">
        <f t="shared" si="19"/>
        <v>13689.230265354056</v>
      </c>
    </row>
    <row r="100" spans="23:27" x14ac:dyDescent="0.3">
      <c r="W100" s="5"/>
      <c r="X100">
        <v>99</v>
      </c>
      <c r="Y100">
        <f t="shared" si="20"/>
        <v>0.98441869756292444</v>
      </c>
      <c r="Z100">
        <f t="shared" si="21"/>
        <v>1.5581302437075562E-2</v>
      </c>
      <c r="AA100">
        <f t="shared" si="19"/>
        <v>15015.480615777455</v>
      </c>
    </row>
    <row r="101" spans="23:27" x14ac:dyDescent="0.3">
      <c r="W101" s="5"/>
      <c r="X101">
        <v>100</v>
      </c>
      <c r="Y101">
        <f t="shared" si="20"/>
        <v>0.99440671194566521</v>
      </c>
      <c r="Z101">
        <f t="shared" si="21"/>
        <v>5.5932880543347885E-3</v>
      </c>
      <c r="AA101">
        <f t="shared" si="19"/>
        <v>17842.627024025747</v>
      </c>
    </row>
  </sheetData>
  <sortState xmlns:xlrd2="http://schemas.microsoft.com/office/spreadsheetml/2017/richdata2" ref="S35:W64">
    <sortCondition ref="S35:S64"/>
  </sortState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003"/>
  <sheetViews>
    <sheetView tabSelected="1" workbookViewId="0">
      <selection activeCell="K5" sqref="K5"/>
    </sheetView>
  </sheetViews>
  <sheetFormatPr defaultRowHeight="14.4" x14ac:dyDescent="0.3"/>
  <cols>
    <col min="1" max="1" width="12.33203125" style="4" bestFit="1" customWidth="1"/>
    <col min="2" max="2" width="13.88671875" style="5" customWidth="1"/>
    <col min="3" max="3" width="11.6640625" style="19" customWidth="1"/>
    <col min="4" max="4" width="13.44140625" style="5" customWidth="1"/>
    <col min="5" max="5" width="9.109375" style="6"/>
    <col min="8" max="8" width="10.44140625" customWidth="1"/>
    <col min="12" max="12" width="13.6640625" customWidth="1"/>
  </cols>
  <sheetData>
    <row r="1" spans="1:21" s="15" customFormat="1" ht="72" customHeight="1" thickBot="1" x14ac:dyDescent="0.35">
      <c r="A1" s="2" t="s">
        <v>84</v>
      </c>
      <c r="B1" s="3" t="s">
        <v>87</v>
      </c>
      <c r="C1" s="17" t="s">
        <v>86</v>
      </c>
      <c r="D1" s="3" t="s">
        <v>88</v>
      </c>
      <c r="E1" s="20" t="s">
        <v>85</v>
      </c>
      <c r="H1" s="15" t="s">
        <v>110</v>
      </c>
      <c r="J1"/>
      <c r="K1"/>
      <c r="L1"/>
      <c r="M1"/>
      <c r="N1"/>
      <c r="O1"/>
      <c r="P1"/>
      <c r="Q1"/>
      <c r="R1"/>
      <c r="S1"/>
      <c r="T1"/>
      <c r="U1"/>
    </row>
    <row r="2" spans="1:21" x14ac:dyDescent="0.3">
      <c r="A2" s="22" t="s">
        <v>89</v>
      </c>
      <c r="B2" s="16">
        <f>AVERAGE(B4:B100000)</f>
        <v>70337.547727722718</v>
      </c>
      <c r="C2" s="18">
        <f t="shared" ref="C2:E2" si="0">AVERAGE(C4:C100000)</f>
        <v>-12.638980338616911</v>
      </c>
      <c r="D2" s="16">
        <f t="shared" si="0"/>
        <v>130187.61744021764</v>
      </c>
      <c r="E2" s="21">
        <f t="shared" si="0"/>
        <v>87.859034565817382</v>
      </c>
      <c r="H2">
        <v>0</v>
      </c>
      <c r="J2" s="36" t="s">
        <v>107</v>
      </c>
      <c r="K2" s="36" t="s">
        <v>109</v>
      </c>
      <c r="L2" s="36"/>
    </row>
    <row r="3" spans="1:21" x14ac:dyDescent="0.3">
      <c r="A3" s="22" t="s">
        <v>90</v>
      </c>
      <c r="B3" s="16">
        <f>_xlfn.STDEV.S(B4:B100001)</f>
        <v>31436.84172164643</v>
      </c>
      <c r="C3" s="18">
        <f t="shared" ref="C3:E3" si="1">_xlfn.STDEV.S(C4:C100001)</f>
        <v>39.045355382130793</v>
      </c>
      <c r="D3" s="16">
        <f t="shared" si="1"/>
        <v>54819.258648699702</v>
      </c>
      <c r="E3" s="21">
        <f t="shared" si="1"/>
        <v>17.59992353550923</v>
      </c>
      <c r="H3">
        <v>10000</v>
      </c>
      <c r="J3" s="31">
        <v>10000</v>
      </c>
      <c r="K3" s="32">
        <v>0</v>
      </c>
      <c r="L3" s="33"/>
    </row>
    <row r="4" spans="1:21" x14ac:dyDescent="0.3">
      <c r="A4" s="4">
        <v>1</v>
      </c>
      <c r="B4" s="5">
        <v>117857.4372776504</v>
      </c>
      <c r="C4" s="19">
        <v>46.381928683517827</v>
      </c>
      <c r="D4" s="5">
        <v>175885.83884630681</v>
      </c>
      <c r="E4" s="6">
        <v>49.236096515447038</v>
      </c>
      <c r="H4">
        <v>20000</v>
      </c>
      <c r="J4" s="31">
        <v>20000</v>
      </c>
      <c r="K4" s="32">
        <v>12</v>
      </c>
      <c r="L4" s="33"/>
    </row>
    <row r="5" spans="1:21" x14ac:dyDescent="0.3">
      <c r="A5" s="4">
        <v>2</v>
      </c>
      <c r="B5" s="5">
        <v>52678.556066669698</v>
      </c>
      <c r="C5" s="19">
        <v>-34.571896221230404</v>
      </c>
      <c r="D5" s="5">
        <v>97143.152597612789</v>
      </c>
      <c r="E5" s="6">
        <v>84.407394300384652</v>
      </c>
      <c r="H5">
        <v>30000</v>
      </c>
      <c r="J5" s="31">
        <v>30000</v>
      </c>
      <c r="K5" s="32">
        <v>136</v>
      </c>
      <c r="L5" s="33"/>
    </row>
    <row r="6" spans="1:21" x14ac:dyDescent="0.3">
      <c r="A6" s="4">
        <v>3</v>
      </c>
      <c r="B6" s="5">
        <v>80406.374845229686</v>
      </c>
      <c r="C6" s="19">
        <v>-0.13324148083613988</v>
      </c>
      <c r="D6" s="5">
        <v>148426.30025907702</v>
      </c>
      <c r="E6" s="6">
        <v>84.595189802768218</v>
      </c>
      <c r="H6">
        <v>40000</v>
      </c>
      <c r="J6" s="31">
        <v>40000</v>
      </c>
      <c r="K6" s="32">
        <v>450</v>
      </c>
      <c r="L6" s="33"/>
    </row>
    <row r="7" spans="1:21" x14ac:dyDescent="0.3">
      <c r="A7" s="4">
        <v>4</v>
      </c>
      <c r="B7" s="5">
        <v>61833.26378891951</v>
      </c>
      <c r="C7" s="19">
        <v>-23.20151685552409</v>
      </c>
      <c r="D7" s="5">
        <v>97925.998092685215</v>
      </c>
      <c r="E7" s="6">
        <v>58.371064524388736</v>
      </c>
      <c r="H7">
        <v>50000</v>
      </c>
      <c r="J7" s="31">
        <v>50000</v>
      </c>
      <c r="K7" s="32">
        <v>696</v>
      </c>
      <c r="L7" s="33"/>
    </row>
    <row r="8" spans="1:21" x14ac:dyDescent="0.3">
      <c r="A8" s="4">
        <v>5</v>
      </c>
      <c r="B8" s="5">
        <v>152292.63804365898</v>
      </c>
      <c r="C8" s="19">
        <v>89.151322106332103</v>
      </c>
      <c r="D8" s="5">
        <v>267661.36255400983</v>
      </c>
      <c r="E8" s="6">
        <v>75.754630028325565</v>
      </c>
      <c r="H8">
        <v>60000</v>
      </c>
      <c r="J8" s="31">
        <v>60000</v>
      </c>
      <c r="K8" s="32">
        <v>860</v>
      </c>
      <c r="L8" s="33"/>
    </row>
    <row r="9" spans="1:21" x14ac:dyDescent="0.3">
      <c r="A9" s="4">
        <v>6</v>
      </c>
      <c r="B9" s="5">
        <v>70634.12057027749</v>
      </c>
      <c r="C9" s="19">
        <v>-12.270629340231928</v>
      </c>
      <c r="D9" s="5">
        <v>142275.56217457866</v>
      </c>
      <c r="E9" s="6">
        <v>101.4261111002599</v>
      </c>
      <c r="H9">
        <v>70000</v>
      </c>
      <c r="J9" s="31">
        <v>70000</v>
      </c>
      <c r="K9" s="32">
        <v>760</v>
      </c>
      <c r="L9" s="33"/>
    </row>
    <row r="10" spans="1:21" x14ac:dyDescent="0.3">
      <c r="A10" s="4">
        <v>7</v>
      </c>
      <c r="B10" s="5">
        <v>37575.765359669749</v>
      </c>
      <c r="C10" s="19">
        <v>-53.329945634658451</v>
      </c>
      <c r="D10" s="5">
        <v>66618.052473534655</v>
      </c>
      <c r="E10" s="6">
        <v>77.289941630932518</v>
      </c>
      <c r="H10">
        <v>80000</v>
      </c>
      <c r="J10" s="31">
        <v>80000</v>
      </c>
      <c r="K10" s="32">
        <v>654</v>
      </c>
      <c r="L10" s="33"/>
    </row>
    <row r="11" spans="1:21" x14ac:dyDescent="0.3">
      <c r="A11" s="4">
        <v>8</v>
      </c>
      <c r="B11" s="5">
        <v>50938.304154745048</v>
      </c>
      <c r="C11" s="19">
        <v>-36.733333268793096</v>
      </c>
      <c r="D11" s="5">
        <v>93166.36785301214</v>
      </c>
      <c r="E11" s="6">
        <v>82.900411387828711</v>
      </c>
      <c r="H11">
        <v>90000</v>
      </c>
      <c r="J11" s="31">
        <v>90000</v>
      </c>
      <c r="K11" s="32">
        <v>434</v>
      </c>
      <c r="L11" s="33"/>
    </row>
    <row r="12" spans="1:21" x14ac:dyDescent="0.3">
      <c r="A12" s="4">
        <v>9</v>
      </c>
      <c r="B12" s="5">
        <v>51869.973063772712</v>
      </c>
      <c r="C12" s="19">
        <v>-35.576176835154939</v>
      </c>
      <c r="D12" s="5">
        <v>90949.625688820233</v>
      </c>
      <c r="E12" s="6">
        <v>75.341571080054663</v>
      </c>
      <c r="H12">
        <v>100000</v>
      </c>
      <c r="J12" s="31">
        <v>100000</v>
      </c>
      <c r="K12" s="32">
        <v>306</v>
      </c>
      <c r="L12" s="33"/>
    </row>
    <row r="13" spans="1:21" x14ac:dyDescent="0.3">
      <c r="A13" s="4">
        <v>10</v>
      </c>
      <c r="B13" s="5">
        <v>55104.724459685109</v>
      </c>
      <c r="C13" s="19">
        <v>-31.558533493480557</v>
      </c>
      <c r="D13" s="5">
        <v>108989.53079899927</v>
      </c>
      <c r="E13" s="6">
        <v>97.786182342199268</v>
      </c>
      <c r="H13">
        <v>110000</v>
      </c>
      <c r="J13" s="31">
        <v>110000</v>
      </c>
      <c r="K13" s="32">
        <v>211</v>
      </c>
      <c r="L13" s="33"/>
    </row>
    <row r="14" spans="1:21" x14ac:dyDescent="0.3">
      <c r="A14" s="4">
        <v>11</v>
      </c>
      <c r="B14" s="5">
        <v>74861.009934473739</v>
      </c>
      <c r="C14" s="19">
        <v>-7.0207254584322794</v>
      </c>
      <c r="D14" s="5">
        <v>146790.24979503659</v>
      </c>
      <c r="E14" s="6">
        <v>96.083715573063898</v>
      </c>
      <c r="H14">
        <v>120000</v>
      </c>
      <c r="J14" s="31">
        <v>120000</v>
      </c>
      <c r="K14" s="32">
        <v>139</v>
      </c>
      <c r="L14" s="33"/>
    </row>
    <row r="15" spans="1:21" x14ac:dyDescent="0.3">
      <c r="A15" s="4">
        <v>12</v>
      </c>
      <c r="B15" s="5">
        <v>55700.845983756313</v>
      </c>
      <c r="C15" s="19">
        <v>-30.818135429184206</v>
      </c>
      <c r="D15" s="5">
        <v>106426.7231511647</v>
      </c>
      <c r="E15" s="6">
        <v>91.068414261071098</v>
      </c>
      <c r="H15">
        <v>130000</v>
      </c>
      <c r="J15" s="31">
        <v>130000</v>
      </c>
      <c r="K15" s="32">
        <v>116</v>
      </c>
      <c r="L15" s="33"/>
    </row>
    <row r="16" spans="1:21" x14ac:dyDescent="0.3">
      <c r="A16" s="4">
        <v>13</v>
      </c>
      <c r="B16" s="5">
        <v>122465.16729896776</v>
      </c>
      <c r="C16" s="19">
        <v>52.104846328370492</v>
      </c>
      <c r="D16" s="5">
        <v>239551.51655505362</v>
      </c>
      <c r="E16" s="6">
        <v>95.607879234957579</v>
      </c>
      <c r="H16">
        <v>140000</v>
      </c>
      <c r="J16" s="31">
        <v>140000</v>
      </c>
      <c r="K16" s="32">
        <v>63</v>
      </c>
      <c r="L16" s="33"/>
    </row>
    <row r="17" spans="1:12" x14ac:dyDescent="0.3">
      <c r="A17" s="4">
        <v>14</v>
      </c>
      <c r="B17" s="5">
        <v>34276.053715640468</v>
      </c>
      <c r="C17" s="19">
        <v>-57.42827125338512</v>
      </c>
      <c r="D17" s="5">
        <v>64854.668259214784</v>
      </c>
      <c r="E17" s="6">
        <v>89.21276293140194</v>
      </c>
      <c r="H17">
        <v>150000</v>
      </c>
      <c r="J17" s="31">
        <v>150000</v>
      </c>
      <c r="K17" s="32">
        <v>42</v>
      </c>
      <c r="L17" s="33"/>
    </row>
    <row r="18" spans="1:12" x14ac:dyDescent="0.3">
      <c r="A18" s="4">
        <v>15</v>
      </c>
      <c r="B18" s="5">
        <v>36409.856601534142</v>
      </c>
      <c r="C18" s="19">
        <v>-54.778033906617331</v>
      </c>
      <c r="D18" s="5">
        <v>82781.613092596293</v>
      </c>
      <c r="E18" s="6">
        <v>127.3604480197493</v>
      </c>
      <c r="H18">
        <v>160000</v>
      </c>
      <c r="J18" s="31">
        <v>160000</v>
      </c>
      <c r="K18" s="32">
        <v>29</v>
      </c>
      <c r="L18" s="33"/>
    </row>
    <row r="19" spans="1:12" x14ac:dyDescent="0.3">
      <c r="A19" s="4">
        <v>16</v>
      </c>
      <c r="B19" s="5">
        <v>81536.164045823942</v>
      </c>
      <c r="C19" s="19">
        <v>1.2699853838307922</v>
      </c>
      <c r="D19" s="5">
        <v>135205.42152615418</v>
      </c>
      <c r="E19" s="6">
        <v>65.822642147069502</v>
      </c>
      <c r="H19">
        <v>170000</v>
      </c>
      <c r="J19" s="31">
        <v>170000</v>
      </c>
      <c r="K19" s="32">
        <v>28</v>
      </c>
      <c r="L19" s="33"/>
    </row>
    <row r="20" spans="1:12" x14ac:dyDescent="0.3">
      <c r="A20" s="4">
        <v>17</v>
      </c>
      <c r="B20" s="5">
        <v>70970.701109873364</v>
      </c>
      <c r="C20" s="19">
        <v>-11.852587766603326</v>
      </c>
      <c r="D20" s="5">
        <v>143614.70911526293</v>
      </c>
      <c r="E20" s="6">
        <v>102.35774322269364</v>
      </c>
      <c r="H20">
        <v>180000</v>
      </c>
      <c r="J20" s="31">
        <v>180000</v>
      </c>
      <c r="K20" s="32">
        <v>21</v>
      </c>
      <c r="L20" s="33"/>
    </row>
    <row r="21" spans="1:12" x14ac:dyDescent="0.3">
      <c r="A21" s="4">
        <v>18</v>
      </c>
      <c r="B21" s="5">
        <v>62264.680205150049</v>
      </c>
      <c r="C21" s="19">
        <v>-22.665686715888658</v>
      </c>
      <c r="D21" s="5">
        <v>109786.68937289384</v>
      </c>
      <c r="E21" s="6">
        <v>76.322578083060876</v>
      </c>
      <c r="H21">
        <v>190000</v>
      </c>
      <c r="J21" s="31">
        <v>190000</v>
      </c>
      <c r="K21" s="32">
        <v>12</v>
      </c>
      <c r="L21" s="33"/>
    </row>
    <row r="22" spans="1:12" x14ac:dyDescent="0.3">
      <c r="A22" s="4">
        <v>19</v>
      </c>
      <c r="B22" s="5">
        <v>70960.777805765101</v>
      </c>
      <c r="C22" s="19">
        <v>-11.864912762189803</v>
      </c>
      <c r="D22" s="5">
        <v>123995.6411042871</v>
      </c>
      <c r="E22" s="6">
        <v>74.738277874701168</v>
      </c>
      <c r="H22">
        <v>200000</v>
      </c>
      <c r="J22" s="31">
        <v>200000</v>
      </c>
      <c r="K22" s="32">
        <v>7</v>
      </c>
      <c r="L22" s="33"/>
    </row>
    <row r="23" spans="1:12" x14ac:dyDescent="0.3">
      <c r="A23" s="4">
        <v>20</v>
      </c>
      <c r="B23" s="5">
        <v>55775.393027860977</v>
      </c>
      <c r="C23" s="19">
        <v>-30.725546108172679</v>
      </c>
      <c r="D23" s="5">
        <v>111084.31832490653</v>
      </c>
      <c r="E23" s="6">
        <v>99.163667514485439</v>
      </c>
      <c r="H23">
        <v>210000</v>
      </c>
      <c r="J23" s="31">
        <v>210000</v>
      </c>
      <c r="K23" s="32">
        <v>5</v>
      </c>
      <c r="L23" s="33"/>
    </row>
    <row r="24" spans="1:12" x14ac:dyDescent="0.3">
      <c r="A24" s="4">
        <v>21</v>
      </c>
      <c r="B24" s="5">
        <v>68140.410335045701</v>
      </c>
      <c r="C24" s="19">
        <v>-15.367880750434452</v>
      </c>
      <c r="D24" s="5">
        <v>120896.85945145789</v>
      </c>
      <c r="E24" s="6">
        <v>77.4231456150752</v>
      </c>
      <c r="H24">
        <v>220000</v>
      </c>
      <c r="J24" s="31">
        <v>220000</v>
      </c>
      <c r="K24" s="32">
        <v>3</v>
      </c>
      <c r="L24" s="33"/>
    </row>
    <row r="25" spans="1:12" x14ac:dyDescent="0.3">
      <c r="A25" s="4">
        <v>22</v>
      </c>
      <c r="B25" s="5">
        <v>32566.375041519186</v>
      </c>
      <c r="C25" s="19">
        <v>-59.551735563553109</v>
      </c>
      <c r="D25" s="5">
        <v>62655.962596719983</v>
      </c>
      <c r="E25" s="6">
        <v>92.394647905513864</v>
      </c>
      <c r="H25">
        <v>230000</v>
      </c>
      <c r="J25" s="31">
        <v>230000</v>
      </c>
      <c r="K25" s="32">
        <v>3</v>
      </c>
      <c r="L25" s="33"/>
    </row>
    <row r="26" spans="1:12" x14ac:dyDescent="0.3">
      <c r="A26" s="4">
        <v>23</v>
      </c>
      <c r="B26" s="5">
        <v>39659.185813892815</v>
      </c>
      <c r="C26" s="19">
        <v>-50.742284546886793</v>
      </c>
      <c r="D26" s="5">
        <v>88836.192844639561</v>
      </c>
      <c r="E26" s="6">
        <v>123.99903331731987</v>
      </c>
      <c r="H26">
        <v>240000</v>
      </c>
      <c r="J26" s="31">
        <v>240000</v>
      </c>
      <c r="K26" s="32">
        <v>4</v>
      </c>
      <c r="L26" s="33"/>
    </row>
    <row r="27" spans="1:12" x14ac:dyDescent="0.3">
      <c r="A27" s="4">
        <v>24</v>
      </c>
      <c r="B27" s="5">
        <v>72147.572484487042</v>
      </c>
      <c r="C27" s="19">
        <v>-10.390883646713716</v>
      </c>
      <c r="D27" s="5">
        <v>123326.4049075384</v>
      </c>
      <c r="E27" s="6">
        <v>70.936319353025596</v>
      </c>
      <c r="H27">
        <v>250000</v>
      </c>
      <c r="J27" s="31">
        <v>250000</v>
      </c>
      <c r="K27" s="32">
        <v>2</v>
      </c>
      <c r="L27" s="33"/>
    </row>
    <row r="28" spans="1:12" x14ac:dyDescent="0.3">
      <c r="A28" s="4">
        <v>25</v>
      </c>
      <c r="B28" s="5">
        <v>43347.125153508088</v>
      </c>
      <c r="C28" s="19">
        <v>-46.161770275827934</v>
      </c>
      <c r="D28" s="5">
        <v>99264.533624419142</v>
      </c>
      <c r="E28" s="6">
        <v>128.99911648785698</v>
      </c>
      <c r="H28">
        <v>260000</v>
      </c>
      <c r="J28" s="31">
        <v>260000</v>
      </c>
      <c r="K28" s="32">
        <v>0</v>
      </c>
      <c r="L28" s="33"/>
    </row>
    <row r="29" spans="1:12" x14ac:dyDescent="0.3">
      <c r="A29" s="4">
        <v>26</v>
      </c>
      <c r="B29" s="5">
        <v>52861.903768222808</v>
      </c>
      <c r="C29" s="19">
        <v>-34.34417372197219</v>
      </c>
      <c r="D29" s="5">
        <v>104466.44634643852</v>
      </c>
      <c r="E29" s="6">
        <v>97.621422800964382</v>
      </c>
      <c r="H29">
        <v>270000</v>
      </c>
      <c r="J29" s="31">
        <v>270000</v>
      </c>
      <c r="K29" s="32">
        <v>1</v>
      </c>
      <c r="L29" s="33"/>
    </row>
    <row r="30" spans="1:12" x14ac:dyDescent="0.3">
      <c r="A30" s="4">
        <v>27</v>
      </c>
      <c r="B30" s="5">
        <v>110101.79615547892</v>
      </c>
      <c r="C30" s="19">
        <v>36.749225547727256</v>
      </c>
      <c r="D30" s="5">
        <v>172329.62761093417</v>
      </c>
      <c r="E30" s="6">
        <v>56.518452585079515</v>
      </c>
      <c r="H30">
        <v>280000</v>
      </c>
      <c r="J30" s="31">
        <v>280000</v>
      </c>
      <c r="K30" s="32">
        <v>1</v>
      </c>
      <c r="L30" s="33"/>
    </row>
    <row r="31" spans="1:12" x14ac:dyDescent="0.3">
      <c r="A31" s="4">
        <v>28</v>
      </c>
      <c r="B31" s="5">
        <v>101240.20682848089</v>
      </c>
      <c r="C31" s="19">
        <v>25.742906669171127</v>
      </c>
      <c r="D31" s="5">
        <v>144544.02385322849</v>
      </c>
      <c r="E31" s="6">
        <v>42.77333915181746</v>
      </c>
      <c r="H31">
        <v>290000</v>
      </c>
      <c r="J31" s="31">
        <v>290000</v>
      </c>
      <c r="K31" s="32">
        <v>0</v>
      </c>
      <c r="L31" s="33"/>
    </row>
    <row r="32" spans="1:12" x14ac:dyDescent="0.3">
      <c r="A32" s="4">
        <v>29</v>
      </c>
      <c r="B32" s="5">
        <v>105177.10291114122</v>
      </c>
      <c r="C32" s="19">
        <v>30.6326315343807</v>
      </c>
      <c r="D32" s="5">
        <v>208236.05646781565</v>
      </c>
      <c r="E32" s="6">
        <v>97.986111714584581</v>
      </c>
      <c r="H32">
        <v>300000</v>
      </c>
      <c r="J32" s="31">
        <v>300000</v>
      </c>
      <c r="K32" s="32">
        <v>1</v>
      </c>
      <c r="L32" s="33"/>
    </row>
    <row r="33" spans="1:12" ht="15" thickBot="1" x14ac:dyDescent="0.35">
      <c r="A33" s="4">
        <v>30</v>
      </c>
      <c r="B33" s="5">
        <v>52001.889780538382</v>
      </c>
      <c r="C33" s="19">
        <v>-35.412332924479493</v>
      </c>
      <c r="D33" s="5">
        <v>113165.98444004936</v>
      </c>
      <c r="E33" s="6">
        <v>117.61898445929467</v>
      </c>
      <c r="J33" s="34" t="s">
        <v>108</v>
      </c>
      <c r="K33" s="34">
        <v>3</v>
      </c>
      <c r="L33" s="35"/>
    </row>
    <row r="34" spans="1:12" ht="15" thickBot="1" x14ac:dyDescent="0.35">
      <c r="A34" s="4">
        <v>31</v>
      </c>
      <c r="B34" s="5">
        <v>41846.48104158209</v>
      </c>
      <c r="C34" s="19">
        <v>-48.025608353808515</v>
      </c>
      <c r="D34" s="5">
        <v>74841.511550605443</v>
      </c>
      <c r="E34" s="6">
        <v>78.847801984202178</v>
      </c>
    </row>
    <row r="35" spans="1:12" x14ac:dyDescent="0.3">
      <c r="A35" s="4">
        <v>32</v>
      </c>
      <c r="B35" s="5">
        <v>54151.22386454283</v>
      </c>
      <c r="C35" s="19">
        <v>-32.742805435428487</v>
      </c>
      <c r="D35" s="5">
        <v>110171.93755709557</v>
      </c>
      <c r="E35" s="6">
        <v>103.45235009403734</v>
      </c>
      <c r="J35" s="36" t="s">
        <v>107</v>
      </c>
      <c r="K35" s="36" t="s">
        <v>109</v>
      </c>
    </row>
    <row r="36" spans="1:12" x14ac:dyDescent="0.3">
      <c r="A36" s="4">
        <v>33</v>
      </c>
      <c r="B36" s="5">
        <v>76141.353370920959</v>
      </c>
      <c r="C36" s="19">
        <v>-5.4305064113058599</v>
      </c>
      <c r="D36" s="5">
        <v>131639.59532878519</v>
      </c>
      <c r="E36" s="6">
        <v>72.888436442028734</v>
      </c>
      <c r="J36" s="31">
        <v>10000</v>
      </c>
      <c r="K36" s="32">
        <v>0</v>
      </c>
    </row>
    <row r="37" spans="1:12" x14ac:dyDescent="0.3">
      <c r="A37" s="4">
        <v>34</v>
      </c>
      <c r="B37" s="5">
        <v>51415.632711377177</v>
      </c>
      <c r="C37" s="19">
        <v>-36.140479085387383</v>
      </c>
      <c r="D37" s="5">
        <v>102389.21594583472</v>
      </c>
      <c r="E37" s="6">
        <v>99.140243047477227</v>
      </c>
      <c r="J37" s="31">
        <v>20000</v>
      </c>
      <c r="K37" s="32">
        <v>0</v>
      </c>
    </row>
    <row r="38" spans="1:12" x14ac:dyDescent="0.3">
      <c r="A38" s="4">
        <v>35</v>
      </c>
      <c r="B38" s="5">
        <v>60197.509688061073</v>
      </c>
      <c r="C38" s="19">
        <v>-25.233164969266319</v>
      </c>
      <c r="D38" s="5">
        <v>107574.00123550845</v>
      </c>
      <c r="E38" s="6">
        <v>78.701746621992768</v>
      </c>
      <c r="J38" s="31">
        <v>30000</v>
      </c>
      <c r="K38" s="32">
        <v>0</v>
      </c>
    </row>
    <row r="39" spans="1:12" x14ac:dyDescent="0.3">
      <c r="A39" s="4">
        <v>36</v>
      </c>
      <c r="B39" s="5">
        <v>74483.989415778648</v>
      </c>
      <c r="C39" s="19">
        <v>-7.4889945125933055</v>
      </c>
      <c r="D39" s="5">
        <v>125832.85837219148</v>
      </c>
      <c r="E39" s="6">
        <v>68.939471904193027</v>
      </c>
      <c r="J39" s="31">
        <v>40000</v>
      </c>
      <c r="K39" s="32">
        <v>6</v>
      </c>
    </row>
    <row r="40" spans="1:12" x14ac:dyDescent="0.3">
      <c r="A40" s="4">
        <v>37</v>
      </c>
      <c r="B40" s="5">
        <v>98426.61165051056</v>
      </c>
      <c r="C40" s="19">
        <v>22.248350040422466</v>
      </c>
      <c r="D40" s="5">
        <v>189727.44874186619</v>
      </c>
      <c r="E40" s="6">
        <v>92.760317113773198</v>
      </c>
      <c r="J40" s="31">
        <v>50000</v>
      </c>
      <c r="K40" s="32">
        <v>54</v>
      </c>
    </row>
    <row r="41" spans="1:12" x14ac:dyDescent="0.3">
      <c r="A41" s="4">
        <v>38</v>
      </c>
      <c r="B41" s="5">
        <v>60718.349501542049</v>
      </c>
      <c r="C41" s="19">
        <v>-24.586268700404666</v>
      </c>
      <c r="D41" s="5">
        <v>110541.12259462471</v>
      </c>
      <c r="E41" s="6">
        <v>82.055545814560276</v>
      </c>
      <c r="J41" s="31">
        <v>60000</v>
      </c>
      <c r="K41" s="32">
        <v>95</v>
      </c>
    </row>
    <row r="42" spans="1:12" x14ac:dyDescent="0.3">
      <c r="A42" s="4">
        <v>39</v>
      </c>
      <c r="B42" s="5">
        <v>55176.448897392642</v>
      </c>
      <c r="C42" s="19">
        <v>-31.469449921260711</v>
      </c>
      <c r="D42" s="5">
        <v>105324.81911910533</v>
      </c>
      <c r="E42" s="6">
        <v>90.887273871085327</v>
      </c>
      <c r="J42" s="31">
        <v>70000</v>
      </c>
      <c r="K42" s="32">
        <v>214</v>
      </c>
    </row>
    <row r="43" spans="1:12" x14ac:dyDescent="0.3">
      <c r="A43" s="4">
        <v>40</v>
      </c>
      <c r="B43" s="5">
        <v>86014.156961953384</v>
      </c>
      <c r="C43" s="19">
        <v>6.8317662509128354</v>
      </c>
      <c r="D43" s="5">
        <v>150275.33003252881</v>
      </c>
      <c r="E43" s="6">
        <v>74.709995819641705</v>
      </c>
      <c r="J43" s="31">
        <v>80000</v>
      </c>
      <c r="K43" s="32">
        <v>335</v>
      </c>
    </row>
    <row r="44" spans="1:12" x14ac:dyDescent="0.3">
      <c r="A44" s="4">
        <v>41</v>
      </c>
      <c r="B44" s="5">
        <v>52543.902196519964</v>
      </c>
      <c r="C44" s="19">
        <v>-34.739139745886234</v>
      </c>
      <c r="D44" s="5">
        <v>94340.120994365352</v>
      </c>
      <c r="E44" s="6">
        <v>79.545326956347736</v>
      </c>
      <c r="J44" s="31">
        <v>90000</v>
      </c>
      <c r="K44" s="32">
        <v>382</v>
      </c>
    </row>
    <row r="45" spans="1:12" x14ac:dyDescent="0.3">
      <c r="A45" s="4">
        <v>42</v>
      </c>
      <c r="B45" s="5">
        <v>65558.599041615467</v>
      </c>
      <c r="C45" s="19">
        <v>-18.574555911195588</v>
      </c>
      <c r="D45" s="5">
        <v>129562.92960326045</v>
      </c>
      <c r="E45" s="6">
        <v>97.62919204697485</v>
      </c>
      <c r="J45" s="31">
        <v>100000</v>
      </c>
      <c r="K45" s="32">
        <v>460</v>
      </c>
    </row>
    <row r="46" spans="1:12" x14ac:dyDescent="0.3">
      <c r="A46" s="4">
        <v>43</v>
      </c>
      <c r="B46" s="5">
        <v>82165.827095037734</v>
      </c>
      <c r="C46" s="19">
        <v>2.0520428737414296</v>
      </c>
      <c r="D46" s="5">
        <v>163200.91853144995</v>
      </c>
      <c r="E46" s="6">
        <v>98.623837063895621</v>
      </c>
      <c r="J46" s="31">
        <v>110000</v>
      </c>
      <c r="K46" s="32">
        <v>486</v>
      </c>
    </row>
    <row r="47" spans="1:12" x14ac:dyDescent="0.3">
      <c r="A47" s="4">
        <v>44</v>
      </c>
      <c r="B47" s="5">
        <v>40549.85803157535</v>
      </c>
      <c r="C47" s="19">
        <v>-49.636047044521561</v>
      </c>
      <c r="D47" s="5">
        <v>82735.148968529335</v>
      </c>
      <c r="E47" s="6">
        <v>104.0331408906664</v>
      </c>
      <c r="J47" s="31">
        <v>120000</v>
      </c>
      <c r="K47" s="32">
        <v>474</v>
      </c>
    </row>
    <row r="48" spans="1:12" x14ac:dyDescent="0.3">
      <c r="A48" s="4">
        <v>45</v>
      </c>
      <c r="B48" s="5">
        <v>61787.184129851994</v>
      </c>
      <c r="C48" s="19">
        <v>-23.258748961729587</v>
      </c>
      <c r="D48" s="5">
        <v>105517.98447953253</v>
      </c>
      <c r="E48" s="6">
        <v>70.776490247194062</v>
      </c>
      <c r="J48" s="31">
        <v>130000</v>
      </c>
      <c r="K48" s="32">
        <v>443</v>
      </c>
    </row>
    <row r="49" spans="1:11" x14ac:dyDescent="0.3">
      <c r="A49" s="4">
        <v>46</v>
      </c>
      <c r="B49" s="5">
        <v>116521.07747538284</v>
      </c>
      <c r="C49" s="19">
        <v>44.722135888174691</v>
      </c>
      <c r="D49" s="5">
        <v>187399.28977556189</v>
      </c>
      <c r="E49" s="6">
        <v>60.828661934707327</v>
      </c>
      <c r="J49" s="31">
        <v>140000</v>
      </c>
      <c r="K49" s="32">
        <v>367</v>
      </c>
    </row>
    <row r="50" spans="1:11" x14ac:dyDescent="0.3">
      <c r="A50" s="4">
        <v>47</v>
      </c>
      <c r="B50" s="5">
        <v>69161.264151937838</v>
      </c>
      <c r="C50" s="19">
        <v>-14.099954397441033</v>
      </c>
      <c r="D50" s="5">
        <v>118383.27252283529</v>
      </c>
      <c r="E50" s="6">
        <v>71.169908437132435</v>
      </c>
      <c r="J50" s="31">
        <v>150000</v>
      </c>
      <c r="K50" s="32">
        <v>337</v>
      </c>
    </row>
    <row r="51" spans="1:11" x14ac:dyDescent="0.3">
      <c r="A51" s="4">
        <v>48</v>
      </c>
      <c r="B51" s="5">
        <v>124956.02721796697</v>
      </c>
      <c r="C51" s="19">
        <v>55.198557573462345</v>
      </c>
      <c r="D51" s="5">
        <v>258040.9584650202</v>
      </c>
      <c r="E51" s="6">
        <v>106.50541171167886</v>
      </c>
      <c r="J51" s="31">
        <v>160000</v>
      </c>
      <c r="K51" s="32">
        <v>275</v>
      </c>
    </row>
    <row r="52" spans="1:11" x14ac:dyDescent="0.3">
      <c r="A52" s="4">
        <v>49</v>
      </c>
      <c r="B52" s="5">
        <v>82358.095285621312</v>
      </c>
      <c r="C52" s="19">
        <v>2.2908448468049611</v>
      </c>
      <c r="D52" s="5">
        <v>156019.92435271907</v>
      </c>
      <c r="E52" s="6">
        <v>89.44090901038382</v>
      </c>
      <c r="J52" s="31">
        <v>170000</v>
      </c>
      <c r="K52" s="32">
        <v>180</v>
      </c>
    </row>
    <row r="53" spans="1:11" x14ac:dyDescent="0.3">
      <c r="A53" s="4">
        <v>50</v>
      </c>
      <c r="B53" s="5">
        <v>118839.79502776141</v>
      </c>
      <c r="C53" s="19">
        <v>47.602041944420371</v>
      </c>
      <c r="D53" s="5">
        <v>247185.0140061453</v>
      </c>
      <c r="E53" s="6">
        <v>107.99851930778065</v>
      </c>
      <c r="J53" s="31">
        <v>180000</v>
      </c>
      <c r="K53" s="32">
        <v>153</v>
      </c>
    </row>
    <row r="54" spans="1:11" x14ac:dyDescent="0.3">
      <c r="A54" s="4">
        <v>51</v>
      </c>
      <c r="B54" s="5">
        <v>108304.31613696358</v>
      </c>
      <c r="C54" s="19">
        <v>34.516709739153356</v>
      </c>
      <c r="D54" s="5">
        <v>200291.15605141188</v>
      </c>
      <c r="E54" s="6">
        <v>84.933678726266166</v>
      </c>
      <c r="J54" s="31">
        <v>190000</v>
      </c>
      <c r="K54" s="32">
        <v>144</v>
      </c>
    </row>
    <row r="55" spans="1:11" x14ac:dyDescent="0.3">
      <c r="A55" s="4">
        <v>52</v>
      </c>
      <c r="B55" s="5">
        <v>35780.039544414285</v>
      </c>
      <c r="C55" s="19">
        <v>-55.560282678256492</v>
      </c>
      <c r="D55" s="5">
        <v>65446.130448864154</v>
      </c>
      <c r="E55" s="6">
        <v>82.912403905045764</v>
      </c>
      <c r="J55" s="31">
        <v>200000</v>
      </c>
      <c r="K55" s="32">
        <v>124</v>
      </c>
    </row>
    <row r="56" spans="1:11" x14ac:dyDescent="0.3">
      <c r="A56" s="4">
        <v>53</v>
      </c>
      <c r="B56" s="5">
        <v>66303.625012812729</v>
      </c>
      <c r="C56" s="19">
        <v>-17.649214743915287</v>
      </c>
      <c r="D56" s="5">
        <v>110100.89355777211</v>
      </c>
      <c r="E56" s="6">
        <v>66.055616923653659</v>
      </c>
      <c r="J56" s="31">
        <v>210000</v>
      </c>
      <c r="K56" s="32">
        <v>78</v>
      </c>
    </row>
    <row r="57" spans="1:11" x14ac:dyDescent="0.3">
      <c r="A57" s="4">
        <v>54</v>
      </c>
      <c r="B57" s="5">
        <v>51620.637743229323</v>
      </c>
      <c r="C57" s="19">
        <v>-35.88585763216804</v>
      </c>
      <c r="D57" s="5">
        <v>98892.832528189465</v>
      </c>
      <c r="E57" s="6">
        <v>91.576154134516614</v>
      </c>
      <c r="J57" s="31">
        <v>220000</v>
      </c>
      <c r="K57" s="32">
        <v>80</v>
      </c>
    </row>
    <row r="58" spans="1:11" x14ac:dyDescent="0.3">
      <c r="A58" s="4">
        <v>55</v>
      </c>
      <c r="B58" s="5">
        <v>53109.913779378985</v>
      </c>
      <c r="C58" s="19">
        <v>-34.03613899285844</v>
      </c>
      <c r="D58" s="5">
        <v>92775.55857029141</v>
      </c>
      <c r="E58" s="6">
        <v>74.685952147626026</v>
      </c>
      <c r="J58" s="31">
        <v>230000</v>
      </c>
      <c r="K58" s="32">
        <v>62</v>
      </c>
    </row>
    <row r="59" spans="1:11" x14ac:dyDescent="0.3">
      <c r="A59" s="4">
        <v>56</v>
      </c>
      <c r="B59" s="5">
        <v>90744.597602475595</v>
      </c>
      <c r="C59" s="19">
        <v>12.707093599591305</v>
      </c>
      <c r="D59" s="5">
        <v>157396.38001371906</v>
      </c>
      <c r="E59" s="6">
        <v>73.449862771142136</v>
      </c>
      <c r="J59" s="31">
        <v>240000</v>
      </c>
      <c r="K59" s="32">
        <v>45</v>
      </c>
    </row>
    <row r="60" spans="1:11" x14ac:dyDescent="0.3">
      <c r="A60" s="4">
        <v>57</v>
      </c>
      <c r="B60" s="5">
        <v>45073.126048596714</v>
      </c>
      <c r="C60" s="19">
        <v>-44.018033352910273</v>
      </c>
      <c r="D60" s="5">
        <v>100180.83319315576</v>
      </c>
      <c r="E60" s="6">
        <v>122.2628913848649</v>
      </c>
      <c r="J60" s="31">
        <v>250000</v>
      </c>
      <c r="K60" s="32">
        <v>34</v>
      </c>
    </row>
    <row r="61" spans="1:11" x14ac:dyDescent="0.3">
      <c r="A61" s="4">
        <v>58</v>
      </c>
      <c r="B61" s="5">
        <v>50917.905528730196</v>
      </c>
      <c r="C61" s="19">
        <v>-36.758668880083476</v>
      </c>
      <c r="D61" s="5">
        <v>105311.714252825</v>
      </c>
      <c r="E61" s="6">
        <v>106.82648502382594</v>
      </c>
      <c r="J61" s="31">
        <v>260000</v>
      </c>
      <c r="K61" s="32">
        <v>29</v>
      </c>
    </row>
    <row r="62" spans="1:11" x14ac:dyDescent="0.3">
      <c r="A62" s="4">
        <v>59</v>
      </c>
      <c r="B62" s="5">
        <v>61884.413009721276</v>
      </c>
      <c r="C62" s="19">
        <v>-23.137988224963571</v>
      </c>
      <c r="D62" s="5">
        <v>128723.53702812652</v>
      </c>
      <c r="E62" s="6">
        <v>108.00639574282727</v>
      </c>
      <c r="J62" s="31">
        <v>270000</v>
      </c>
      <c r="K62" s="32">
        <v>29</v>
      </c>
    </row>
    <row r="63" spans="1:11" x14ac:dyDescent="0.3">
      <c r="A63" s="4">
        <v>60</v>
      </c>
      <c r="B63" s="5">
        <v>47908.831630660286</v>
      </c>
      <c r="C63" s="19">
        <v>-40.49601504104767</v>
      </c>
      <c r="D63" s="5">
        <v>79597.391329532868</v>
      </c>
      <c r="E63" s="6">
        <v>66.143461696512773</v>
      </c>
      <c r="J63" s="31">
        <v>280000</v>
      </c>
      <c r="K63" s="32">
        <v>16</v>
      </c>
    </row>
    <row r="64" spans="1:11" x14ac:dyDescent="0.3">
      <c r="A64" s="4">
        <v>61</v>
      </c>
      <c r="B64" s="5">
        <v>76652.430753128938</v>
      </c>
      <c r="C64" s="19">
        <v>-4.7957353298858312</v>
      </c>
      <c r="D64" s="5">
        <v>118784.11540891739</v>
      </c>
      <c r="E64" s="6">
        <v>54.964577433271614</v>
      </c>
      <c r="J64" s="31">
        <v>290000</v>
      </c>
      <c r="K64" s="32">
        <v>20</v>
      </c>
    </row>
    <row r="65" spans="1:11" x14ac:dyDescent="0.3">
      <c r="A65" s="4">
        <v>62</v>
      </c>
      <c r="B65" s="5">
        <v>80630.419429459973</v>
      </c>
      <c r="C65" s="19">
        <v>0.14502757971932392</v>
      </c>
      <c r="D65" s="5">
        <v>147655.88014685304</v>
      </c>
      <c r="E65" s="6">
        <v>83.126766785618315</v>
      </c>
      <c r="J65" s="31">
        <v>300000</v>
      </c>
      <c r="K65" s="32">
        <v>11</v>
      </c>
    </row>
    <row r="66" spans="1:11" ht="15" thickBot="1" x14ac:dyDescent="0.35">
      <c r="A66" s="4">
        <v>63</v>
      </c>
      <c r="B66" s="5">
        <v>98227.545401877578</v>
      </c>
      <c r="C66" s="19">
        <v>22.001104706705927</v>
      </c>
      <c r="D66" s="5">
        <v>182229.03155854679</v>
      </c>
      <c r="E66" s="6">
        <v>85.517240416621021</v>
      </c>
      <c r="J66" s="34" t="s">
        <v>108</v>
      </c>
      <c r="K66" s="34">
        <v>66</v>
      </c>
    </row>
    <row r="67" spans="1:11" x14ac:dyDescent="0.3">
      <c r="A67" s="4">
        <v>64</v>
      </c>
      <c r="B67" s="5">
        <v>103975.03792759408</v>
      </c>
      <c r="C67" s="19">
        <v>29.139636312704354</v>
      </c>
      <c r="D67" s="5">
        <v>186179.82024156157</v>
      </c>
      <c r="E67" s="6">
        <v>79.062036381475593</v>
      </c>
    </row>
    <row r="68" spans="1:11" x14ac:dyDescent="0.3">
      <c r="A68" s="4">
        <v>65</v>
      </c>
      <c r="B68" s="5">
        <v>49080.667989367699</v>
      </c>
      <c r="C68" s="19">
        <v>-39.040564538717845</v>
      </c>
      <c r="D68" s="5">
        <v>80634.493492702401</v>
      </c>
      <c r="E68" s="6">
        <v>64.289723013081598</v>
      </c>
    </row>
    <row r="69" spans="1:11" x14ac:dyDescent="0.3">
      <c r="A69" s="4">
        <v>66</v>
      </c>
      <c r="B69" s="5">
        <v>133974.45795689887</v>
      </c>
      <c r="C69" s="19">
        <v>66.399677466758334</v>
      </c>
      <c r="D69" s="5">
        <v>260986.75168451335</v>
      </c>
      <c r="E69" s="6">
        <v>94.80336451032764</v>
      </c>
    </row>
    <row r="70" spans="1:11" x14ac:dyDescent="0.3">
      <c r="A70" s="4">
        <v>67</v>
      </c>
      <c r="B70" s="5">
        <v>54838.752763985831</v>
      </c>
      <c r="C70" s="19">
        <v>-31.888877090719703</v>
      </c>
      <c r="D70" s="5">
        <v>99542.532957263815</v>
      </c>
      <c r="E70" s="6">
        <v>81.51859395065641</v>
      </c>
    </row>
    <row r="71" spans="1:11" x14ac:dyDescent="0.3">
      <c r="A71" s="4">
        <v>68</v>
      </c>
      <c r="B71" s="5">
        <v>28122.556912847096</v>
      </c>
      <c r="C71" s="19">
        <v>-65.071070477151778</v>
      </c>
      <c r="D71" s="5">
        <v>54518.743667442403</v>
      </c>
      <c r="E71" s="6">
        <v>93.861261749413899</v>
      </c>
    </row>
    <row r="72" spans="1:11" x14ac:dyDescent="0.3">
      <c r="A72" s="4">
        <v>69</v>
      </c>
      <c r="B72" s="5">
        <v>79206.260948768191</v>
      </c>
      <c r="C72" s="19">
        <v>-1.6238134028275144</v>
      </c>
      <c r="D72" s="5">
        <v>133620.25716981132</v>
      </c>
      <c r="E72" s="6">
        <v>68.699109854761247</v>
      </c>
    </row>
    <row r="73" spans="1:11" x14ac:dyDescent="0.3">
      <c r="A73" s="4">
        <v>70</v>
      </c>
      <c r="B73" s="5">
        <v>76068.15269626677</v>
      </c>
      <c r="C73" s="19">
        <v>-5.5214235072848918</v>
      </c>
      <c r="D73" s="5">
        <v>154950.50792617779</v>
      </c>
      <c r="E73" s="6">
        <v>103.69958048656854</v>
      </c>
    </row>
    <row r="74" spans="1:11" x14ac:dyDescent="0.3">
      <c r="A74" s="4">
        <v>71</v>
      </c>
      <c r="B74" s="5">
        <v>95440.198457879567</v>
      </c>
      <c r="C74" s="19">
        <v>18.539149050811893</v>
      </c>
      <c r="D74" s="5">
        <v>176880.99207494594</v>
      </c>
      <c r="E74" s="6">
        <v>85.331752168357525</v>
      </c>
    </row>
    <row r="75" spans="1:11" x14ac:dyDescent="0.3">
      <c r="A75" s="4">
        <v>72</v>
      </c>
      <c r="B75" s="5">
        <v>73531.192084744005</v>
      </c>
      <c r="C75" s="19">
        <v>-8.6723929826685371</v>
      </c>
      <c r="D75" s="5">
        <v>128048.16596849328</v>
      </c>
      <c r="E75" s="6">
        <v>74.141289346865179</v>
      </c>
    </row>
    <row r="76" spans="1:11" x14ac:dyDescent="0.3">
      <c r="A76" s="4">
        <v>73</v>
      </c>
      <c r="B76" s="5">
        <v>87457.12981974172</v>
      </c>
      <c r="C76" s="19">
        <v>8.6239751673804204</v>
      </c>
      <c r="D76" s="5">
        <v>139746.64994549367</v>
      </c>
      <c r="E76" s="6">
        <v>59.788744763893021</v>
      </c>
    </row>
    <row r="77" spans="1:11" x14ac:dyDescent="0.3">
      <c r="A77" s="4">
        <v>74</v>
      </c>
      <c r="B77" s="5">
        <v>63584.494633774215</v>
      </c>
      <c r="C77" s="19">
        <v>-21.026443694583147</v>
      </c>
      <c r="D77" s="5">
        <v>123534.37071091637</v>
      </c>
      <c r="E77" s="6">
        <v>94.283797366690933</v>
      </c>
    </row>
    <row r="78" spans="1:11" x14ac:dyDescent="0.3">
      <c r="A78" s="4">
        <v>75</v>
      </c>
      <c r="B78" s="5">
        <v>73113.731726266808</v>
      </c>
      <c r="C78" s="19">
        <v>-9.1908893443265995</v>
      </c>
      <c r="D78" s="5">
        <v>123918.8608947474</v>
      </c>
      <c r="E78" s="6">
        <v>69.487807514314525</v>
      </c>
    </row>
    <row r="79" spans="1:11" x14ac:dyDescent="0.3">
      <c r="A79" s="4">
        <v>76</v>
      </c>
      <c r="B79" s="5">
        <v>44705.734634932662</v>
      </c>
      <c r="C79" s="19">
        <v>-44.474342814206416</v>
      </c>
      <c r="D79" s="5">
        <v>92647.83673909145</v>
      </c>
      <c r="E79" s="6">
        <v>107.23926694338954</v>
      </c>
    </row>
    <row r="80" spans="1:11" x14ac:dyDescent="0.3">
      <c r="A80" s="4">
        <v>77</v>
      </c>
      <c r="B80" s="5">
        <v>69277.442192374147</v>
      </c>
      <c r="C80" s="19">
        <v>-13.955658322262726</v>
      </c>
      <c r="D80" s="5">
        <v>130322.29502469851</v>
      </c>
      <c r="E80" s="6">
        <v>88.116493479668335</v>
      </c>
    </row>
    <row r="81" spans="1:5" x14ac:dyDescent="0.3">
      <c r="A81" s="4">
        <v>78</v>
      </c>
      <c r="B81" s="5">
        <v>72558.028960641372</v>
      </c>
      <c r="C81" s="19">
        <v>-9.8810862846807552</v>
      </c>
      <c r="D81" s="5">
        <v>130577.87513069087</v>
      </c>
      <c r="E81" s="6">
        <v>79.963371388605367</v>
      </c>
    </row>
    <row r="82" spans="1:5" x14ac:dyDescent="0.3">
      <c r="A82" s="4">
        <v>79</v>
      </c>
      <c r="B82" s="5">
        <v>45851.839902975189</v>
      </c>
      <c r="C82" s="19">
        <v>-43.050850979616698</v>
      </c>
      <c r="D82" s="5">
        <v>93918.77151159037</v>
      </c>
      <c r="E82" s="6">
        <v>104.83097670742818</v>
      </c>
    </row>
    <row r="83" spans="1:5" x14ac:dyDescent="0.3">
      <c r="A83" s="4">
        <v>80</v>
      </c>
      <c r="B83" s="5">
        <v>63716.339948739173</v>
      </c>
      <c r="C83" s="19">
        <v>-20.862688466756584</v>
      </c>
      <c r="D83" s="5">
        <v>120207.77891459528</v>
      </c>
      <c r="E83" s="6">
        <v>88.660834899343541</v>
      </c>
    </row>
    <row r="84" spans="1:5" x14ac:dyDescent="0.3">
      <c r="A84" s="4">
        <v>81</v>
      </c>
      <c r="B84" s="5">
        <v>53325.750490624327</v>
      </c>
      <c r="C84" s="19">
        <v>-33.768064318891369</v>
      </c>
      <c r="D84" s="5">
        <v>101876.05558772737</v>
      </c>
      <c r="E84" s="6">
        <v>91.044766647286295</v>
      </c>
    </row>
    <row r="85" spans="1:5" x14ac:dyDescent="0.3">
      <c r="A85" s="4">
        <v>82</v>
      </c>
      <c r="B85" s="5">
        <v>91047.098858988044</v>
      </c>
      <c r="C85" s="19">
        <v>13.082807838593148</v>
      </c>
      <c r="D85" s="5">
        <v>164880.9412361201</v>
      </c>
      <c r="E85" s="6">
        <v>81.094118651143916</v>
      </c>
    </row>
    <row r="86" spans="1:5" x14ac:dyDescent="0.3">
      <c r="A86" s="4">
        <v>83</v>
      </c>
      <c r="B86" s="5">
        <v>54432.226263225486</v>
      </c>
      <c r="C86" s="19">
        <v>-32.393793323558455</v>
      </c>
      <c r="D86" s="5">
        <v>85005.520595121838</v>
      </c>
      <c r="E86" s="6">
        <v>56.167635297606274</v>
      </c>
    </row>
    <row r="87" spans="1:5" x14ac:dyDescent="0.3">
      <c r="A87" s="4">
        <v>84</v>
      </c>
      <c r="B87" s="5">
        <v>58063.553085939559</v>
      </c>
      <c r="C87" s="19">
        <v>-27.883593235490888</v>
      </c>
      <c r="D87" s="5">
        <v>100493.89254806428</v>
      </c>
      <c r="E87" s="6">
        <v>73.075685532581517</v>
      </c>
    </row>
    <row r="88" spans="1:5" x14ac:dyDescent="0.3">
      <c r="A88" s="4">
        <v>85</v>
      </c>
      <c r="B88" s="5">
        <v>63716.763706715981</v>
      </c>
      <c r="C88" s="19">
        <v>-20.862162148593107</v>
      </c>
      <c r="D88" s="5">
        <v>116185.20189941851</v>
      </c>
      <c r="E88" s="6">
        <v>82.346364034135902</v>
      </c>
    </row>
    <row r="89" spans="1:5" x14ac:dyDescent="0.3">
      <c r="A89" s="4">
        <v>86</v>
      </c>
      <c r="B89" s="5">
        <v>74516.586330517486</v>
      </c>
      <c r="C89" s="19">
        <v>-7.4485083170775974</v>
      </c>
      <c r="D89" s="5">
        <v>133679.91143435863</v>
      </c>
      <c r="E89" s="6">
        <v>79.396182806097528</v>
      </c>
    </row>
    <row r="90" spans="1:5" x14ac:dyDescent="0.3">
      <c r="A90" s="4">
        <v>87</v>
      </c>
      <c r="B90" s="5">
        <v>81804.489908249787</v>
      </c>
      <c r="C90" s="19">
        <v>1.6032529159003348</v>
      </c>
      <c r="D90" s="5">
        <v>120345.33851661293</v>
      </c>
      <c r="E90" s="6">
        <v>47.113365845309666</v>
      </c>
    </row>
    <row r="91" spans="1:5" x14ac:dyDescent="0.3">
      <c r="A91" s="4">
        <v>88</v>
      </c>
      <c r="B91" s="5">
        <v>57091.391635269196</v>
      </c>
      <c r="C91" s="19">
        <v>-29.091042433674669</v>
      </c>
      <c r="D91" s="5">
        <v>94274.634280692364</v>
      </c>
      <c r="E91" s="6">
        <v>65.129333127785543</v>
      </c>
    </row>
    <row r="92" spans="1:5" x14ac:dyDescent="0.3">
      <c r="A92" s="4">
        <v>89</v>
      </c>
      <c r="B92" s="5">
        <v>94245.27412811642</v>
      </c>
      <c r="C92" s="19">
        <v>17.055022702387049</v>
      </c>
      <c r="D92" s="5">
        <v>197779.2303523515</v>
      </c>
      <c r="E92" s="6">
        <v>109.85585981053192</v>
      </c>
    </row>
    <row r="93" spans="1:5" x14ac:dyDescent="0.3">
      <c r="A93" s="4">
        <v>90</v>
      </c>
      <c r="B93" s="5">
        <v>66765.628758794497</v>
      </c>
      <c r="C93" s="19">
        <v>-17.075394364328211</v>
      </c>
      <c r="D93" s="5">
        <v>121135.55627608526</v>
      </c>
      <c r="E93" s="6">
        <v>81.434008078788679</v>
      </c>
    </row>
    <row r="94" spans="1:5" x14ac:dyDescent="0.3">
      <c r="A94" s="4">
        <v>91</v>
      </c>
      <c r="B94" s="5">
        <v>46551.732655618107</v>
      </c>
      <c r="C94" s="19">
        <v>-42.181566415400951</v>
      </c>
      <c r="D94" s="5">
        <v>92358.101476232172</v>
      </c>
      <c r="E94" s="6">
        <v>98.398848351106253</v>
      </c>
    </row>
    <row r="95" spans="1:5" x14ac:dyDescent="0.3">
      <c r="A95" s="4">
        <v>92</v>
      </c>
      <c r="B95" s="5">
        <v>107281.57403567441</v>
      </c>
      <c r="C95" s="19">
        <v>33.246438089008343</v>
      </c>
      <c r="D95" s="5">
        <v>210060.57055292832</v>
      </c>
      <c r="E95" s="6">
        <v>95.803028097888216</v>
      </c>
    </row>
    <row r="96" spans="1:5" x14ac:dyDescent="0.3">
      <c r="A96" s="4">
        <v>93</v>
      </c>
      <c r="B96" s="5">
        <v>54245.237583377144</v>
      </c>
      <c r="C96" s="19">
        <v>-32.626038010278585</v>
      </c>
      <c r="D96" s="5">
        <v>99827.906778292658</v>
      </c>
      <c r="E96" s="6">
        <v>84.030730116820095</v>
      </c>
    </row>
    <row r="97" spans="1:5" x14ac:dyDescent="0.3">
      <c r="A97" s="4">
        <v>94</v>
      </c>
      <c r="B97" s="5">
        <v>43889.495336587061</v>
      </c>
      <c r="C97" s="19">
        <v>-45.488132741418482</v>
      </c>
      <c r="D97" s="5">
        <v>97347.772077962029</v>
      </c>
      <c r="E97" s="6">
        <v>121.80198548970603</v>
      </c>
    </row>
    <row r="98" spans="1:5" x14ac:dyDescent="0.3">
      <c r="A98" s="4">
        <v>95</v>
      </c>
      <c r="B98" s="5">
        <v>111363.93410275456</v>
      </c>
      <c r="C98" s="19">
        <v>38.316832915191199</v>
      </c>
      <c r="D98" s="5">
        <v>210800.96219649375</v>
      </c>
      <c r="E98" s="6">
        <v>89.290153849979376</v>
      </c>
    </row>
    <row r="99" spans="1:5" x14ac:dyDescent="0.3">
      <c r="A99" s="4">
        <v>96</v>
      </c>
      <c r="B99" s="5">
        <v>41870.457573229571</v>
      </c>
      <c r="C99" s="19">
        <v>-47.995828892904136</v>
      </c>
      <c r="D99" s="5">
        <v>79412.881231261534</v>
      </c>
      <c r="E99" s="6">
        <v>89.663275335293221</v>
      </c>
    </row>
    <row r="100" spans="1:5" x14ac:dyDescent="0.3">
      <c r="A100" s="4">
        <v>97</v>
      </c>
      <c r="B100" s="5">
        <v>96961.277136468299</v>
      </c>
      <c r="C100" s="19">
        <v>20.428367379279813</v>
      </c>
      <c r="D100" s="5">
        <v>172668.48122187771</v>
      </c>
      <c r="E100" s="6">
        <v>78.079833848367315</v>
      </c>
    </row>
    <row r="101" spans="1:5" x14ac:dyDescent="0.3">
      <c r="A101" s="4">
        <v>98</v>
      </c>
      <c r="B101" s="5">
        <v>75060.149370073646</v>
      </c>
      <c r="C101" s="19">
        <v>-6.7733892246451095</v>
      </c>
      <c r="D101" s="5">
        <v>148301.3501516532</v>
      </c>
      <c r="E101" s="6">
        <v>97.576678698671344</v>
      </c>
    </row>
    <row r="102" spans="1:5" x14ac:dyDescent="0.3">
      <c r="A102" s="4">
        <v>99</v>
      </c>
      <c r="B102" s="5">
        <v>42666.180712298214</v>
      </c>
      <c r="C102" s="19">
        <v>-47.007520556277349</v>
      </c>
      <c r="D102" s="5">
        <v>89304.54922115973</v>
      </c>
      <c r="E102" s="6">
        <v>109.30992118405938</v>
      </c>
    </row>
    <row r="103" spans="1:5" x14ac:dyDescent="0.3">
      <c r="A103" s="4">
        <v>100</v>
      </c>
      <c r="B103" s="5">
        <v>28351.558029145894</v>
      </c>
      <c r="C103" s="19">
        <v>-64.786645277955188</v>
      </c>
      <c r="D103" s="5">
        <v>60967.540526232253</v>
      </c>
      <c r="E103" s="6">
        <v>115.04123499511583</v>
      </c>
    </row>
    <row r="104" spans="1:5" x14ac:dyDescent="0.3">
      <c r="A104" s="4">
        <v>101</v>
      </c>
      <c r="B104" s="5">
        <v>63664.652937633196</v>
      </c>
      <c r="C104" s="19">
        <v>-20.926885046525708</v>
      </c>
      <c r="D104" s="5">
        <v>112677.96566590761</v>
      </c>
      <c r="E104" s="6">
        <v>76.986695861341701</v>
      </c>
    </row>
    <row r="105" spans="1:5" x14ac:dyDescent="0.3">
      <c r="A105" s="4">
        <v>102</v>
      </c>
      <c r="B105" s="5">
        <v>115031.66029015396</v>
      </c>
      <c r="C105" s="19">
        <v>42.872241938125896</v>
      </c>
      <c r="D105" s="5">
        <v>185234.16524049875</v>
      </c>
      <c r="E105" s="6">
        <v>61.028854815506584</v>
      </c>
    </row>
    <row r="106" spans="1:5" x14ac:dyDescent="0.3">
      <c r="A106" s="4">
        <v>103</v>
      </c>
      <c r="B106" s="5">
        <v>58782.181677978777</v>
      </c>
      <c r="C106" s="19">
        <v>-26.99103828317164</v>
      </c>
      <c r="D106" s="5">
        <v>120844.21981877208</v>
      </c>
      <c r="E106" s="6">
        <v>105.5796780064787</v>
      </c>
    </row>
    <row r="107" spans="1:5" x14ac:dyDescent="0.3">
      <c r="A107" s="4">
        <v>104</v>
      </c>
      <c r="B107" s="5">
        <v>54313.802398060318</v>
      </c>
      <c r="C107" s="19">
        <v>-32.540878770055954</v>
      </c>
      <c r="D107" s="5">
        <v>93447.995894363135</v>
      </c>
      <c r="E107" s="6">
        <v>72.052023184626819</v>
      </c>
    </row>
    <row r="108" spans="1:5" x14ac:dyDescent="0.3">
      <c r="A108" s="4">
        <v>105</v>
      </c>
      <c r="B108" s="5">
        <v>75805.682492456268</v>
      </c>
      <c r="C108" s="19">
        <v>-5.8474181627195314</v>
      </c>
      <c r="D108" s="5">
        <v>143872.23890034386</v>
      </c>
      <c r="E108" s="6">
        <v>89.79083647807164</v>
      </c>
    </row>
    <row r="109" spans="1:5" x14ac:dyDescent="0.3">
      <c r="A109" s="4">
        <v>106</v>
      </c>
      <c r="B109" s="5">
        <v>79030.674312285468</v>
      </c>
      <c r="C109" s="19">
        <v>-1.8418964622685738</v>
      </c>
      <c r="D109" s="5">
        <v>137796.96081491216</v>
      </c>
      <c r="E109" s="6">
        <v>74.358832205347085</v>
      </c>
    </row>
    <row r="110" spans="1:5" x14ac:dyDescent="0.3">
      <c r="A110" s="4">
        <v>107</v>
      </c>
      <c r="B110" s="5">
        <v>79924.26849789836</v>
      </c>
      <c r="C110" s="19">
        <v>-0.73202980156529029</v>
      </c>
      <c r="D110" s="5">
        <v>149008.28179964397</v>
      </c>
      <c r="E110" s="6">
        <v>86.436841525252376</v>
      </c>
    </row>
    <row r="111" spans="1:5" x14ac:dyDescent="0.3">
      <c r="A111" s="4">
        <v>108</v>
      </c>
      <c r="B111" s="5">
        <v>92986.519653540337</v>
      </c>
      <c r="C111" s="19">
        <v>15.491617693898913</v>
      </c>
      <c r="D111" s="5">
        <v>193857.2236456945</v>
      </c>
      <c r="E111" s="6">
        <v>108.4788465768905</v>
      </c>
    </row>
    <row r="112" spans="1:5" x14ac:dyDescent="0.3">
      <c r="A112" s="4">
        <v>109</v>
      </c>
      <c r="B112" s="5">
        <v>42022.59538335642</v>
      </c>
      <c r="C112" s="19">
        <v>-47.806869871000487</v>
      </c>
      <c r="D112" s="5">
        <v>79543.392454507833</v>
      </c>
      <c r="E112" s="6">
        <v>89.28719592129714</v>
      </c>
    </row>
    <row r="113" spans="1:5" x14ac:dyDescent="0.3">
      <c r="A113" s="4">
        <v>110</v>
      </c>
      <c r="B113" s="5">
        <v>48783.864532457213</v>
      </c>
      <c r="C113" s="19">
        <v>-39.409201965986355</v>
      </c>
      <c r="D113" s="5">
        <v>94902.092837918797</v>
      </c>
      <c r="E113" s="6">
        <v>94.535823980853124</v>
      </c>
    </row>
    <row r="114" spans="1:5" x14ac:dyDescent="0.3">
      <c r="A114" s="4">
        <v>111</v>
      </c>
      <c r="B114" s="5">
        <v>53161.497351280603</v>
      </c>
      <c r="C114" s="19">
        <v>-33.972070887206733</v>
      </c>
      <c r="D114" s="5">
        <v>100841.78397396914</v>
      </c>
      <c r="E114" s="6">
        <v>89.689510262712673</v>
      </c>
    </row>
    <row r="115" spans="1:5" x14ac:dyDescent="0.3">
      <c r="A115" s="4">
        <v>112</v>
      </c>
      <c r="B115" s="5">
        <v>65744.7247184437</v>
      </c>
      <c r="C115" s="19">
        <v>-18.343383096132111</v>
      </c>
      <c r="D115" s="5">
        <v>115912.22134383887</v>
      </c>
      <c r="E115" s="6">
        <v>76.306497350534087</v>
      </c>
    </row>
    <row r="116" spans="1:5" x14ac:dyDescent="0.3">
      <c r="A116" s="4">
        <v>113</v>
      </c>
      <c r="B116" s="5">
        <v>64706.165349558076</v>
      </c>
      <c r="C116" s="19">
        <v>-19.633300194122871</v>
      </c>
      <c r="D116" s="5">
        <v>117275.3704032879</v>
      </c>
      <c r="E116" s="6">
        <v>81.242961578295507</v>
      </c>
    </row>
    <row r="117" spans="1:5" x14ac:dyDescent="0.3">
      <c r="A117" s="4">
        <v>114</v>
      </c>
      <c r="B117" s="5">
        <v>65550.856968228414</v>
      </c>
      <c r="C117" s="19">
        <v>-18.58417176285997</v>
      </c>
      <c r="D117" s="5">
        <v>122218.14201544826</v>
      </c>
      <c r="E117" s="6">
        <v>86.447817264518278</v>
      </c>
    </row>
    <row r="118" spans="1:5" x14ac:dyDescent="0.3">
      <c r="A118" s="4">
        <v>115</v>
      </c>
      <c r="B118" s="5">
        <v>91205.141208659101</v>
      </c>
      <c r="C118" s="19">
        <v>13.279100448486094</v>
      </c>
      <c r="D118" s="5">
        <v>157599.47619926668</v>
      </c>
      <c r="E118" s="6">
        <v>72.79670214940036</v>
      </c>
    </row>
    <row r="119" spans="1:5" x14ac:dyDescent="0.3">
      <c r="A119" s="4">
        <v>116</v>
      </c>
      <c r="B119" s="5">
        <v>57592.687459539418</v>
      </c>
      <c r="C119" s="19">
        <v>-28.468420295499396</v>
      </c>
      <c r="D119" s="5">
        <v>99238.588540174082</v>
      </c>
      <c r="E119" s="6">
        <v>72.311091768190451</v>
      </c>
    </row>
    <row r="120" spans="1:5" x14ac:dyDescent="0.3">
      <c r="A120" s="4">
        <v>117</v>
      </c>
      <c r="B120" s="5">
        <v>43063.829165624018</v>
      </c>
      <c r="C120" s="19">
        <v>-46.513631083704475</v>
      </c>
      <c r="D120" s="5">
        <v>95472.834990527117</v>
      </c>
      <c r="E120" s="6">
        <v>121.70075638963134</v>
      </c>
    </row>
    <row r="121" spans="1:5" x14ac:dyDescent="0.3">
      <c r="A121" s="4">
        <v>118</v>
      </c>
      <c r="B121" s="5">
        <v>26863.863756761188</v>
      </c>
      <c r="C121" s="19">
        <v>-66.634399326518675</v>
      </c>
      <c r="D121" s="5">
        <v>46567.025761623619</v>
      </c>
      <c r="E121" s="6">
        <v>73.344483069392709</v>
      </c>
    </row>
    <row r="122" spans="1:5" x14ac:dyDescent="0.3">
      <c r="A122" s="4">
        <v>119</v>
      </c>
      <c r="B122" s="5">
        <v>35160.932465410719</v>
      </c>
      <c r="C122" s="19">
        <v>-56.329229385223002</v>
      </c>
      <c r="D122" s="5">
        <v>70425.036303682049</v>
      </c>
      <c r="E122" s="6">
        <v>100.2934261568919</v>
      </c>
    </row>
    <row r="123" spans="1:5" x14ac:dyDescent="0.3">
      <c r="A123" s="4">
        <v>120</v>
      </c>
      <c r="B123" s="5">
        <v>71765.057851875303</v>
      </c>
      <c r="C123" s="19">
        <v>-10.865976529816747</v>
      </c>
      <c r="D123" s="5">
        <v>127426.50969108791</v>
      </c>
      <c r="E123" s="6">
        <v>77.56065905234702</v>
      </c>
    </row>
    <row r="124" spans="1:5" x14ac:dyDescent="0.3">
      <c r="A124" s="4">
        <v>121</v>
      </c>
      <c r="B124" s="5">
        <v>79615.882350065309</v>
      </c>
      <c r="C124" s="19">
        <v>-1.1150532249639837</v>
      </c>
      <c r="D124" s="5">
        <v>157071.66943350586</v>
      </c>
      <c r="E124" s="6">
        <v>97.286853825060959</v>
      </c>
    </row>
    <row r="125" spans="1:5" x14ac:dyDescent="0.3">
      <c r="A125" s="4">
        <v>122</v>
      </c>
      <c r="B125" s="5">
        <v>85207.996358941804</v>
      </c>
      <c r="C125" s="19">
        <v>5.8304943191339422</v>
      </c>
      <c r="D125" s="5">
        <v>121238.84441552187</v>
      </c>
      <c r="E125" s="6">
        <v>42.285759079228676</v>
      </c>
    </row>
    <row r="126" spans="1:5" x14ac:dyDescent="0.3">
      <c r="A126" s="4">
        <v>123</v>
      </c>
      <c r="B126" s="5">
        <v>39160.190543208293</v>
      </c>
      <c r="C126" s="19">
        <v>-51.362049339113504</v>
      </c>
      <c r="D126" s="5">
        <v>72285.885920386514</v>
      </c>
      <c r="E126" s="6">
        <v>84.590230327475624</v>
      </c>
    </row>
    <row r="127" spans="1:5" x14ac:dyDescent="0.3">
      <c r="A127" s="4">
        <v>124</v>
      </c>
      <c r="B127" s="5">
        <v>58233.043143571784</v>
      </c>
      <c r="C127" s="19">
        <v>-27.673082281732093</v>
      </c>
      <c r="D127" s="5">
        <v>112432.30065335623</v>
      </c>
      <c r="E127" s="6">
        <v>93.073029647717092</v>
      </c>
    </row>
    <row r="128" spans="1:5" x14ac:dyDescent="0.3">
      <c r="A128" s="4">
        <v>125</v>
      </c>
      <c r="B128" s="5">
        <v>96877.877316153274</v>
      </c>
      <c r="C128" s="19">
        <v>20.324782685504296</v>
      </c>
      <c r="D128" s="5">
        <v>214341.24828438525</v>
      </c>
      <c r="E128" s="6">
        <v>121.24891071353636</v>
      </c>
    </row>
    <row r="129" spans="1:5" x14ac:dyDescent="0.3">
      <c r="A129" s="4">
        <v>126</v>
      </c>
      <c r="B129" s="5">
        <v>121632.02339952876</v>
      </c>
      <c r="C129" s="19">
        <v>51.070060457509584</v>
      </c>
      <c r="D129" s="5">
        <v>211719.8514087715</v>
      </c>
      <c r="E129" s="6">
        <v>74.065879602551917</v>
      </c>
    </row>
    <row r="130" spans="1:5" x14ac:dyDescent="0.3">
      <c r="A130" s="4">
        <v>127</v>
      </c>
      <c r="B130" s="5">
        <v>47093.45676485508</v>
      </c>
      <c r="C130" s="19">
        <v>-41.508731321102609</v>
      </c>
      <c r="D130" s="5">
        <v>89681.357397144791</v>
      </c>
      <c r="E130" s="6">
        <v>90.432734307310866</v>
      </c>
    </row>
    <row r="131" spans="1:5" x14ac:dyDescent="0.3">
      <c r="A131" s="4">
        <v>128</v>
      </c>
      <c r="B131" s="5">
        <v>79356.124335578876</v>
      </c>
      <c r="C131" s="19">
        <v>-1.4376792724144134</v>
      </c>
      <c r="D131" s="5">
        <v>113652.79655417957</v>
      </c>
      <c r="E131" s="6">
        <v>43.21868350521747</v>
      </c>
    </row>
    <row r="132" spans="1:5" x14ac:dyDescent="0.3">
      <c r="A132" s="4">
        <v>129</v>
      </c>
      <c r="B132" s="5">
        <v>22657.056073808919</v>
      </c>
      <c r="C132" s="19">
        <v>-71.859361250478386</v>
      </c>
      <c r="D132" s="5">
        <v>47364.770745177608</v>
      </c>
      <c r="E132" s="6">
        <v>109.05086076001855</v>
      </c>
    </row>
    <row r="133" spans="1:5" x14ac:dyDescent="0.3">
      <c r="A133" s="4">
        <v>130</v>
      </c>
      <c r="B133" s="5">
        <v>50210.367778466891</v>
      </c>
      <c r="C133" s="19">
        <v>-37.637448725397327</v>
      </c>
      <c r="D133" s="5">
        <v>91649.098557332705</v>
      </c>
      <c r="E133" s="6">
        <v>82.530227545230488</v>
      </c>
    </row>
    <row r="134" spans="1:5" x14ac:dyDescent="0.3">
      <c r="A134" s="4">
        <v>131</v>
      </c>
      <c r="B134" s="5">
        <v>50697.724626886797</v>
      </c>
      <c r="C134" s="19">
        <v>-37.032139149042273</v>
      </c>
      <c r="D134" s="5">
        <v>100657.00220771898</v>
      </c>
      <c r="E134" s="6">
        <v>98.54343158102408</v>
      </c>
    </row>
    <row r="135" spans="1:5" x14ac:dyDescent="0.3">
      <c r="A135" s="4">
        <v>132</v>
      </c>
      <c r="B135" s="5">
        <v>56523.226794737762</v>
      </c>
      <c r="C135" s="19">
        <v>-29.79671758738791</v>
      </c>
      <c r="D135" s="5">
        <v>88435.487105720924</v>
      </c>
      <c r="E135" s="6">
        <v>56.458666853666159</v>
      </c>
    </row>
    <row r="136" spans="1:5" x14ac:dyDescent="0.3">
      <c r="A136" s="4">
        <v>133</v>
      </c>
      <c r="B136" s="5">
        <v>52418.801824167109</v>
      </c>
      <c r="C136" s="19">
        <v>-34.894517583781152</v>
      </c>
      <c r="D136" s="5">
        <v>98108.09890791231</v>
      </c>
      <c r="E136" s="6">
        <v>87.162040134005224</v>
      </c>
    </row>
    <row r="137" spans="1:5" x14ac:dyDescent="0.3">
      <c r="A137" s="4">
        <v>134</v>
      </c>
      <c r="B137" s="5">
        <v>95690.217882866244</v>
      </c>
      <c r="C137" s="19">
        <v>18.849679522908236</v>
      </c>
      <c r="D137" s="5">
        <v>187081.75203539903</v>
      </c>
      <c r="E137" s="6">
        <v>95.507708284669761</v>
      </c>
    </row>
    <row r="138" spans="1:5" x14ac:dyDescent="0.3">
      <c r="A138" s="4">
        <v>135</v>
      </c>
      <c r="B138" s="5">
        <v>55377.569833121277</v>
      </c>
      <c r="C138" s="19">
        <v>-31.219652614017086</v>
      </c>
      <c r="D138" s="5">
        <v>102593.00376491858</v>
      </c>
      <c r="E138" s="6">
        <v>85.260935201887094</v>
      </c>
    </row>
    <row r="139" spans="1:5" x14ac:dyDescent="0.3">
      <c r="A139" s="4">
        <v>136</v>
      </c>
      <c r="B139" s="5">
        <v>80743.258939726438</v>
      </c>
      <c r="C139" s="19">
        <v>0.28517711568451071</v>
      </c>
      <c r="D139" s="5">
        <v>138025.41720731521</v>
      </c>
      <c r="E139" s="6">
        <v>70.943579711526141</v>
      </c>
    </row>
    <row r="140" spans="1:5" x14ac:dyDescent="0.3">
      <c r="A140" s="4">
        <v>137</v>
      </c>
      <c r="B140" s="5">
        <v>41390.347521148418</v>
      </c>
      <c r="C140" s="19">
        <v>-48.59213776426045</v>
      </c>
      <c r="D140" s="5">
        <v>64154.798472326031</v>
      </c>
      <c r="E140" s="6">
        <v>54.99941970660214</v>
      </c>
    </row>
    <row r="141" spans="1:5" x14ac:dyDescent="0.3">
      <c r="A141" s="4">
        <v>138</v>
      </c>
      <c r="B141" s="5">
        <v>74211.922272625103</v>
      </c>
      <c r="C141" s="19">
        <v>-7.8269088102918776</v>
      </c>
      <c r="D141" s="5">
        <v>136269.55170223789</v>
      </c>
      <c r="E141" s="6">
        <v>83.622182971676338</v>
      </c>
    </row>
    <row r="142" spans="1:5" x14ac:dyDescent="0.3">
      <c r="A142" s="4">
        <v>139</v>
      </c>
      <c r="B142" s="5">
        <v>71001.694367635471</v>
      </c>
      <c r="C142" s="19">
        <v>-11.814093353758469</v>
      </c>
      <c r="D142" s="5">
        <v>128686.18191693236</v>
      </c>
      <c r="E142" s="6">
        <v>81.243818282160703</v>
      </c>
    </row>
    <row r="143" spans="1:5" x14ac:dyDescent="0.3">
      <c r="A143" s="4">
        <v>140</v>
      </c>
      <c r="B143" s="5">
        <v>103371.80121350054</v>
      </c>
      <c r="C143" s="19">
        <v>28.390401001794828</v>
      </c>
      <c r="D143" s="5">
        <v>196496.47634334525</v>
      </c>
      <c r="E143" s="6">
        <v>90.087116637842286</v>
      </c>
    </row>
    <row r="144" spans="1:5" x14ac:dyDescent="0.3">
      <c r="A144" s="4">
        <v>141</v>
      </c>
      <c r="B144" s="5">
        <v>46682.514099706415</v>
      </c>
      <c r="C144" s="19">
        <v>-42.019132542207508</v>
      </c>
      <c r="D144" s="5">
        <v>90564.058907405284</v>
      </c>
      <c r="E144" s="6">
        <v>93.999960486221624</v>
      </c>
    </row>
    <row r="145" spans="1:5" x14ac:dyDescent="0.3">
      <c r="A145" s="4">
        <v>142</v>
      </c>
      <c r="B145" s="5">
        <v>70015.852966145758</v>
      </c>
      <c r="C145" s="19">
        <v>-13.038533398099162</v>
      </c>
      <c r="D145" s="5">
        <v>133896.44365571954</v>
      </c>
      <c r="E145" s="6">
        <v>91.237324096389273</v>
      </c>
    </row>
    <row r="146" spans="1:5" x14ac:dyDescent="0.3">
      <c r="A146" s="4">
        <v>143</v>
      </c>
      <c r="B146" s="5">
        <v>78718.339956079188</v>
      </c>
      <c r="C146" s="19">
        <v>-2.2298236606845041</v>
      </c>
      <c r="D146" s="5">
        <v>150596.30866892112</v>
      </c>
      <c r="E146" s="6">
        <v>91.310320762539149</v>
      </c>
    </row>
    <row r="147" spans="1:5" x14ac:dyDescent="0.3">
      <c r="A147" s="4">
        <v>144</v>
      </c>
      <c r="B147" s="5">
        <v>67096.681746318995</v>
      </c>
      <c r="C147" s="19">
        <v>-16.664218150678554</v>
      </c>
      <c r="D147" s="5">
        <v>133144.58490198251</v>
      </c>
      <c r="E147" s="6">
        <v>98.43691436989279</v>
      </c>
    </row>
    <row r="148" spans="1:5" x14ac:dyDescent="0.3">
      <c r="A148" s="4">
        <v>145</v>
      </c>
      <c r="B148" s="5">
        <v>65771.62014620952</v>
      </c>
      <c r="C148" s="19">
        <v>-18.309978292158188</v>
      </c>
      <c r="D148" s="5">
        <v>126744.16150743034</v>
      </c>
      <c r="E148" s="6">
        <v>92.703420146378633</v>
      </c>
    </row>
    <row r="149" spans="1:5" x14ac:dyDescent="0.3">
      <c r="A149" s="4">
        <v>146</v>
      </c>
      <c r="B149" s="5">
        <v>47859.982265305647</v>
      </c>
      <c r="C149" s="19">
        <v>-40.556687192765445</v>
      </c>
      <c r="D149" s="5">
        <v>95149.467153409249</v>
      </c>
      <c r="E149" s="6">
        <v>98.807986651479368</v>
      </c>
    </row>
    <row r="150" spans="1:5" x14ac:dyDescent="0.3">
      <c r="A150" s="4">
        <v>147</v>
      </c>
      <c r="B150" s="5">
        <v>50970.583750754289</v>
      </c>
      <c r="C150" s="19">
        <v>-36.693241191194069</v>
      </c>
      <c r="D150" s="5">
        <v>109543.4831690093</v>
      </c>
      <c r="E150" s="6">
        <v>114.91510417984611</v>
      </c>
    </row>
    <row r="151" spans="1:5" x14ac:dyDescent="0.3">
      <c r="A151" s="4">
        <v>148</v>
      </c>
      <c r="B151" s="5">
        <v>79377.678601958411</v>
      </c>
      <c r="C151" s="19">
        <v>-1.4109083264573781</v>
      </c>
      <c r="D151" s="5">
        <v>145587.90246420936</v>
      </c>
      <c r="E151" s="6">
        <v>83.41164043643046</v>
      </c>
    </row>
    <row r="152" spans="1:5" x14ac:dyDescent="0.3">
      <c r="A152" s="4">
        <v>149</v>
      </c>
      <c r="B152" s="5">
        <v>45307.873529380529</v>
      </c>
      <c r="C152" s="19">
        <v>-43.726471023162858</v>
      </c>
      <c r="D152" s="5">
        <v>96785.075908999686</v>
      </c>
      <c r="E152" s="6">
        <v>113.61646082603731</v>
      </c>
    </row>
    <row r="153" spans="1:5" x14ac:dyDescent="0.3">
      <c r="A153" s="4">
        <v>150</v>
      </c>
      <c r="B153" s="5">
        <v>125697.98255699572</v>
      </c>
      <c r="C153" s="19">
        <v>56.120084937647249</v>
      </c>
      <c r="D153" s="5">
        <v>206877.23288200208</v>
      </c>
      <c r="E153" s="6">
        <v>64.582779034020646</v>
      </c>
    </row>
    <row r="154" spans="1:5" x14ac:dyDescent="0.3">
      <c r="A154" s="4">
        <v>151</v>
      </c>
      <c r="B154" s="5">
        <v>55553.83387268526</v>
      </c>
      <c r="C154" s="19">
        <v>-31.00072820275453</v>
      </c>
      <c r="D154" s="5">
        <v>96380.829258926853</v>
      </c>
      <c r="E154" s="6">
        <v>73.490869198706079</v>
      </c>
    </row>
    <row r="155" spans="1:5" x14ac:dyDescent="0.3">
      <c r="A155" s="4">
        <v>152</v>
      </c>
      <c r="B155" s="5">
        <v>98005.530544010588</v>
      </c>
      <c r="C155" s="19">
        <v>21.725356617814381</v>
      </c>
      <c r="D155" s="5">
        <v>202873.68936573886</v>
      </c>
      <c r="E155" s="6">
        <v>107.00228674812993</v>
      </c>
    </row>
    <row r="156" spans="1:5" x14ac:dyDescent="0.3">
      <c r="A156" s="4">
        <v>153</v>
      </c>
      <c r="B156" s="5">
        <v>33267.194563167235</v>
      </c>
      <c r="C156" s="19">
        <v>-58.681299928708739</v>
      </c>
      <c r="D156" s="5">
        <v>58545.289190569056</v>
      </c>
      <c r="E156" s="6">
        <v>75.985050616168323</v>
      </c>
    </row>
    <row r="157" spans="1:5" x14ac:dyDescent="0.3">
      <c r="A157" s="4">
        <v>154</v>
      </c>
      <c r="B157" s="5">
        <v>68242.527188353793</v>
      </c>
      <c r="C157" s="19">
        <v>-15.241049026585616</v>
      </c>
      <c r="D157" s="5">
        <v>103037.5300740502</v>
      </c>
      <c r="E157" s="6">
        <v>50.987271895221497</v>
      </c>
    </row>
    <row r="158" spans="1:5" x14ac:dyDescent="0.3">
      <c r="A158" s="4">
        <v>155</v>
      </c>
      <c r="B158" s="5">
        <v>62015.075530129689</v>
      </c>
      <c r="C158" s="19">
        <v>-22.975702057999207</v>
      </c>
      <c r="D158" s="5">
        <v>142875.57054207346</v>
      </c>
      <c r="E158" s="6">
        <v>130.38844880977067</v>
      </c>
    </row>
    <row r="159" spans="1:5" x14ac:dyDescent="0.3">
      <c r="A159" s="4">
        <v>156</v>
      </c>
      <c r="B159" s="5">
        <v>101764.04490176964</v>
      </c>
      <c r="C159" s="19">
        <v>26.3935268528191</v>
      </c>
      <c r="D159" s="5">
        <v>183630.04361847905</v>
      </c>
      <c r="E159" s="6">
        <v>80.446879637825589</v>
      </c>
    </row>
    <row r="160" spans="1:5" x14ac:dyDescent="0.3">
      <c r="A160" s="4">
        <v>157</v>
      </c>
      <c r="B160" s="5">
        <v>59406.880182033856</v>
      </c>
      <c r="C160" s="19">
        <v>-26.21514688436357</v>
      </c>
      <c r="D160" s="5">
        <v>110700.57275914299</v>
      </c>
      <c r="E160" s="6">
        <v>86.343016869318191</v>
      </c>
    </row>
    <row r="161" spans="1:5" x14ac:dyDescent="0.3">
      <c r="A161" s="4">
        <v>158</v>
      </c>
      <c r="B161" s="5">
        <v>67270.75594113805</v>
      </c>
      <c r="C161" s="19">
        <v>-16.448013582174195</v>
      </c>
      <c r="D161" s="5">
        <v>123429.86564583192</v>
      </c>
      <c r="E161" s="6">
        <v>83.482203996389032</v>
      </c>
    </row>
    <row r="162" spans="1:5" x14ac:dyDescent="0.3">
      <c r="A162" s="4">
        <v>159</v>
      </c>
      <c r="B162" s="5">
        <v>89500.329468870928</v>
      </c>
      <c r="C162" s="19">
        <v>11.161680994297608</v>
      </c>
      <c r="D162" s="5">
        <v>185059.77242552716</v>
      </c>
      <c r="E162" s="6">
        <v>106.76993428263603</v>
      </c>
    </row>
    <row r="163" spans="1:5" x14ac:dyDescent="0.3">
      <c r="A163" s="4">
        <v>160</v>
      </c>
      <c r="B163" s="5">
        <v>46414.863927465281</v>
      </c>
      <c r="C163" s="19">
        <v>-42.351560849916545</v>
      </c>
      <c r="D163" s="5">
        <v>99181.912612018525</v>
      </c>
      <c r="E163" s="6">
        <v>113.68566924383281</v>
      </c>
    </row>
    <row r="164" spans="1:5" x14ac:dyDescent="0.3">
      <c r="A164" s="4">
        <v>161</v>
      </c>
      <c r="B164" s="5">
        <v>60356.773477256014</v>
      </c>
      <c r="C164" s="19">
        <v>-25.035355300480816</v>
      </c>
      <c r="D164" s="5">
        <v>125017.16202216815</v>
      </c>
      <c r="E164" s="6">
        <v>107.1302934529425</v>
      </c>
    </row>
    <row r="165" spans="1:5" x14ac:dyDescent="0.3">
      <c r="A165" s="4">
        <v>162</v>
      </c>
      <c r="B165" s="5">
        <v>149072.81879932052</v>
      </c>
      <c r="C165" s="19">
        <v>85.15222487593654</v>
      </c>
      <c r="D165" s="5">
        <v>325238.64377295016</v>
      </c>
      <c r="E165" s="6">
        <v>118.17434351381073</v>
      </c>
    </row>
    <row r="166" spans="1:5" x14ac:dyDescent="0.3">
      <c r="A166" s="4">
        <v>163</v>
      </c>
      <c r="B166" s="5">
        <v>79670.941684812773</v>
      </c>
      <c r="C166" s="19">
        <v>-1.0466681336321733</v>
      </c>
      <c r="D166" s="5">
        <v>133532.84607264679</v>
      </c>
      <c r="E166" s="6">
        <v>67.605457207871083</v>
      </c>
    </row>
    <row r="167" spans="1:5" x14ac:dyDescent="0.3">
      <c r="A167" s="4">
        <v>164</v>
      </c>
      <c r="B167" s="5">
        <v>64615.680792926993</v>
      </c>
      <c r="C167" s="19">
        <v>-19.745684310235351</v>
      </c>
      <c r="D167" s="5">
        <v>125357.51341660085</v>
      </c>
      <c r="E167" s="6">
        <v>94.004786265941235</v>
      </c>
    </row>
    <row r="168" spans="1:5" x14ac:dyDescent="0.3">
      <c r="A168" s="4">
        <v>165</v>
      </c>
      <c r="B168" s="5">
        <v>59019.312900539611</v>
      </c>
      <c r="C168" s="19">
        <v>-26.696515285630461</v>
      </c>
      <c r="D168" s="5">
        <v>117757.9997500953</v>
      </c>
      <c r="E168" s="6">
        <v>99.524518268355934</v>
      </c>
    </row>
    <row r="169" spans="1:5" x14ac:dyDescent="0.3">
      <c r="A169" s="4">
        <v>166</v>
      </c>
      <c r="B169" s="5">
        <v>39600.634576268872</v>
      </c>
      <c r="C169" s="19">
        <v>-50.815006670226445</v>
      </c>
      <c r="D169" s="5">
        <v>80229.673229116146</v>
      </c>
      <c r="E169" s="6">
        <v>102.5969383763226</v>
      </c>
    </row>
    <row r="170" spans="1:5" x14ac:dyDescent="0.3">
      <c r="A170" s="4">
        <v>167</v>
      </c>
      <c r="B170" s="5">
        <v>110443.80603094824</v>
      </c>
      <c r="C170" s="19">
        <v>37.17401049432393</v>
      </c>
      <c r="D170" s="5">
        <v>181003.48573032217</v>
      </c>
      <c r="E170" s="6">
        <v>63.88740322802883</v>
      </c>
    </row>
    <row r="171" spans="1:5" x14ac:dyDescent="0.3">
      <c r="A171" s="4">
        <v>168</v>
      </c>
      <c r="B171" s="5">
        <v>114516.80219702539</v>
      </c>
      <c r="C171" s="19">
        <v>42.232775117776413</v>
      </c>
      <c r="D171" s="5">
        <v>225564.90731775551</v>
      </c>
      <c r="E171" s="6">
        <v>96.971014724697426</v>
      </c>
    </row>
    <row r="172" spans="1:5" x14ac:dyDescent="0.3">
      <c r="A172" s="4">
        <v>169</v>
      </c>
      <c r="B172" s="5">
        <v>58705.032756577566</v>
      </c>
      <c r="C172" s="19">
        <v>-27.086859201829132</v>
      </c>
      <c r="D172" s="5">
        <v>91443.816654551614</v>
      </c>
      <c r="E172" s="6">
        <v>55.768274644742199</v>
      </c>
    </row>
    <row r="173" spans="1:5" x14ac:dyDescent="0.3">
      <c r="A173" s="4">
        <v>170</v>
      </c>
      <c r="B173" s="5">
        <v>73391.49997327647</v>
      </c>
      <c r="C173" s="19">
        <v>-8.8458941309271601</v>
      </c>
      <c r="D173" s="5">
        <v>146828.27250513798</v>
      </c>
      <c r="E173" s="6">
        <v>100.0616863786699</v>
      </c>
    </row>
    <row r="174" spans="1:5" x14ac:dyDescent="0.3">
      <c r="A174" s="4">
        <v>171</v>
      </c>
      <c r="B174" s="5">
        <v>39125.299603734384</v>
      </c>
      <c r="C174" s="19">
        <v>-51.405384771579577</v>
      </c>
      <c r="D174" s="5">
        <v>67677.343233584121</v>
      </c>
      <c r="E174" s="6">
        <v>72.975910520885918</v>
      </c>
    </row>
    <row r="175" spans="1:5" x14ac:dyDescent="0.3">
      <c r="A175" s="4">
        <v>172</v>
      </c>
      <c r="B175" s="5">
        <v>76002.810217214952</v>
      </c>
      <c r="C175" s="19">
        <v>-5.6025805248605769</v>
      </c>
      <c r="D175" s="5">
        <v>148302.85439862226</v>
      </c>
      <c r="E175" s="6">
        <v>95.128119571861632</v>
      </c>
    </row>
    <row r="176" spans="1:5" x14ac:dyDescent="0.3">
      <c r="A176" s="4">
        <v>173</v>
      </c>
      <c r="B176" s="5">
        <v>48730.611185446731</v>
      </c>
      <c r="C176" s="19">
        <v>-39.475343974707307</v>
      </c>
      <c r="D176" s="5">
        <v>102775.45269225391</v>
      </c>
      <c r="E176" s="6">
        <v>110.90532253153339</v>
      </c>
    </row>
    <row r="177" spans="1:5" x14ac:dyDescent="0.3">
      <c r="A177" s="4">
        <v>174</v>
      </c>
      <c r="B177" s="5">
        <v>66191.222754790171</v>
      </c>
      <c r="C177" s="19">
        <v>-17.788821201494731</v>
      </c>
      <c r="D177" s="5">
        <v>115309.74570920286</v>
      </c>
      <c r="E177" s="6">
        <v>74.207003451765146</v>
      </c>
    </row>
    <row r="178" spans="1:5" x14ac:dyDescent="0.3">
      <c r="A178" s="4">
        <v>175</v>
      </c>
      <c r="B178" s="5">
        <v>36103.978094391845</v>
      </c>
      <c r="C178" s="19">
        <v>-55.15794277662647</v>
      </c>
      <c r="D178" s="5">
        <v>67927.729090297886</v>
      </c>
      <c r="E178" s="6">
        <v>88.144721650075823</v>
      </c>
    </row>
    <row r="179" spans="1:5" x14ac:dyDescent="0.3">
      <c r="A179" s="4">
        <v>176</v>
      </c>
      <c r="B179" s="5">
        <v>44858.602037385455</v>
      </c>
      <c r="C179" s="19">
        <v>-44.28447762011465</v>
      </c>
      <c r="D179" s="5">
        <v>82164.216556911881</v>
      </c>
      <c r="E179" s="6">
        <v>83.162677446871129</v>
      </c>
    </row>
    <row r="180" spans="1:5" x14ac:dyDescent="0.3">
      <c r="A180" s="4">
        <v>177</v>
      </c>
      <c r="B180" s="5">
        <v>81849.293297999393</v>
      </c>
      <c r="C180" s="19">
        <v>1.6588998632173404</v>
      </c>
      <c r="D180" s="5">
        <v>171465.23612165917</v>
      </c>
      <c r="E180" s="6">
        <v>109.48896345064742</v>
      </c>
    </row>
    <row r="181" spans="1:5" x14ac:dyDescent="0.3">
      <c r="A181" s="4">
        <v>178</v>
      </c>
      <c r="B181" s="5">
        <v>41936.129575895364</v>
      </c>
      <c r="C181" s="19">
        <v>-47.914262598635574</v>
      </c>
      <c r="D181" s="5">
        <v>92279.611037898532</v>
      </c>
      <c r="E181" s="6">
        <v>120.04799196094696</v>
      </c>
    </row>
    <row r="182" spans="1:5" x14ac:dyDescent="0.3">
      <c r="A182" s="4">
        <v>179</v>
      </c>
      <c r="B182" s="5">
        <v>104898.11228047099</v>
      </c>
      <c r="C182" s="19">
        <v>30.286118089446973</v>
      </c>
      <c r="D182" s="5">
        <v>179233.98741972036</v>
      </c>
      <c r="E182" s="6">
        <v>70.864835909052459</v>
      </c>
    </row>
    <row r="183" spans="1:5" x14ac:dyDescent="0.3">
      <c r="A183" s="4">
        <v>180</v>
      </c>
      <c r="B183" s="5">
        <v>52424.862496439651</v>
      </c>
      <c r="C183" s="19">
        <v>-34.886990074980126</v>
      </c>
      <c r="D183" s="5">
        <v>101274.39891720122</v>
      </c>
      <c r="E183" s="6">
        <v>93.180094509697781</v>
      </c>
    </row>
    <row r="184" spans="1:5" x14ac:dyDescent="0.3">
      <c r="A184" s="4">
        <v>181</v>
      </c>
      <c r="B184" s="5">
        <v>96353.756568457684</v>
      </c>
      <c r="C184" s="19">
        <v>19.673811413067877</v>
      </c>
      <c r="D184" s="5">
        <v>156239.43986449335</v>
      </c>
      <c r="E184" s="6">
        <v>62.151892597449397</v>
      </c>
    </row>
    <row r="185" spans="1:5" x14ac:dyDescent="0.3">
      <c r="A185" s="4">
        <v>182</v>
      </c>
      <c r="B185" s="5">
        <v>73107.073546730287</v>
      </c>
      <c r="C185" s="19">
        <v>-9.1991589723160576</v>
      </c>
      <c r="D185" s="5">
        <v>122684.23540517563</v>
      </c>
      <c r="E185" s="6">
        <v>67.814452765306569</v>
      </c>
    </row>
    <row r="186" spans="1:5" x14ac:dyDescent="0.3">
      <c r="A186" s="4">
        <v>183</v>
      </c>
      <c r="B186" s="5">
        <v>35736.529095833466</v>
      </c>
      <c r="C186" s="19">
        <v>-55.614323759823037</v>
      </c>
      <c r="D186" s="5">
        <v>80985.980841295255</v>
      </c>
      <c r="E186" s="6">
        <v>126.61960433851264</v>
      </c>
    </row>
    <row r="187" spans="1:5" x14ac:dyDescent="0.3">
      <c r="A187" s="4">
        <v>184</v>
      </c>
      <c r="B187" s="5">
        <v>48751.241876344298</v>
      </c>
      <c r="C187" s="19">
        <v>-39.449720132942062</v>
      </c>
      <c r="D187" s="5">
        <v>76258.636233678539</v>
      </c>
      <c r="E187" s="6">
        <v>56.423986956282505</v>
      </c>
    </row>
    <row r="188" spans="1:5" x14ac:dyDescent="0.3">
      <c r="A188" s="4">
        <v>185</v>
      </c>
      <c r="B188" s="5">
        <v>45787.982143704459</v>
      </c>
      <c r="C188" s="19">
        <v>-43.13016393753751</v>
      </c>
      <c r="D188" s="5">
        <v>80492.211334490799</v>
      </c>
      <c r="E188" s="6">
        <v>75.793314240990057</v>
      </c>
    </row>
    <row r="189" spans="1:5" x14ac:dyDescent="0.3">
      <c r="A189" s="4">
        <v>186</v>
      </c>
      <c r="B189" s="5">
        <v>43178.229398913965</v>
      </c>
      <c r="C189" s="19">
        <v>-46.371543090128164</v>
      </c>
      <c r="D189" s="5">
        <v>76135.233929066962</v>
      </c>
      <c r="E189" s="6">
        <v>76.32782767832056</v>
      </c>
    </row>
    <row r="190" spans="1:5" x14ac:dyDescent="0.3">
      <c r="A190" s="4">
        <v>187</v>
      </c>
      <c r="B190" s="5">
        <v>242114.81496138268</v>
      </c>
      <c r="C190" s="19">
        <v>200.71274580158413</v>
      </c>
      <c r="D190" s="5">
        <v>510207.45014723105</v>
      </c>
      <c r="E190" s="6">
        <v>110.72954590928651</v>
      </c>
    </row>
    <row r="191" spans="1:5" x14ac:dyDescent="0.3">
      <c r="A191" s="4">
        <v>188</v>
      </c>
      <c r="B191" s="5">
        <v>59882.772170069577</v>
      </c>
      <c r="C191" s="19">
        <v>-25.624076955619135</v>
      </c>
      <c r="D191" s="5">
        <v>122327.91729163355</v>
      </c>
      <c r="E191" s="6">
        <v>104.27898184843072</v>
      </c>
    </row>
    <row r="192" spans="1:5" x14ac:dyDescent="0.3">
      <c r="A192" s="4">
        <v>189</v>
      </c>
      <c r="B192" s="5">
        <v>144653.3137703448</v>
      </c>
      <c r="C192" s="19">
        <v>79.663087449302083</v>
      </c>
      <c r="D192" s="5">
        <v>219419.45331253397</v>
      </c>
      <c r="E192" s="6">
        <v>51.686433994101058</v>
      </c>
    </row>
    <row r="193" spans="1:5" x14ac:dyDescent="0.3">
      <c r="A193" s="4">
        <v>190</v>
      </c>
      <c r="B193" s="5">
        <v>89509.708579765342</v>
      </c>
      <c r="C193" s="19">
        <v>11.173330088099185</v>
      </c>
      <c r="D193" s="5">
        <v>166272.3036650065</v>
      </c>
      <c r="E193" s="6">
        <v>85.758959897445351</v>
      </c>
    </row>
    <row r="194" spans="1:5" x14ac:dyDescent="0.3">
      <c r="A194" s="4">
        <v>191</v>
      </c>
      <c r="B194" s="5">
        <v>64575.424527145544</v>
      </c>
      <c r="C194" s="19">
        <v>-19.795683614163899</v>
      </c>
      <c r="D194" s="5">
        <v>132397.39185330324</v>
      </c>
      <c r="E194" s="6">
        <v>105.02752064393692</v>
      </c>
    </row>
    <row r="195" spans="1:5" x14ac:dyDescent="0.3">
      <c r="A195" s="4">
        <v>192</v>
      </c>
      <c r="B195" s="5">
        <v>98307.612729185028</v>
      </c>
      <c r="C195" s="19">
        <v>22.100550359577099</v>
      </c>
      <c r="D195" s="5">
        <v>145631.50272054496</v>
      </c>
      <c r="E195" s="6">
        <v>48.138581212145205</v>
      </c>
    </row>
    <row r="196" spans="1:5" x14ac:dyDescent="0.3">
      <c r="A196" s="4">
        <v>193</v>
      </c>
      <c r="B196" s="5">
        <v>64947.268743113927</v>
      </c>
      <c r="C196" s="19">
        <v>-19.333843659379944</v>
      </c>
      <c r="D196" s="5">
        <v>127117.78166694423</v>
      </c>
      <c r="E196" s="6">
        <v>95.724599551265911</v>
      </c>
    </row>
    <row r="197" spans="1:5" x14ac:dyDescent="0.3">
      <c r="A197" s="4">
        <v>194</v>
      </c>
      <c r="B197" s="5">
        <v>77617.507709608821</v>
      </c>
      <c r="C197" s="19">
        <v>-3.5970852533129039</v>
      </c>
      <c r="D197" s="5">
        <v>145467.07113571669</v>
      </c>
      <c r="E197" s="6">
        <v>87.415282232398056</v>
      </c>
    </row>
    <row r="198" spans="1:5" x14ac:dyDescent="0.3">
      <c r="A198" s="4">
        <v>195</v>
      </c>
      <c r="B198" s="5">
        <v>51423.783000187759</v>
      </c>
      <c r="C198" s="19">
        <v>-36.130356219805215</v>
      </c>
      <c r="D198" s="5">
        <v>98035.779007421967</v>
      </c>
      <c r="E198" s="6">
        <v>90.642876287541924</v>
      </c>
    </row>
    <row r="199" spans="1:5" x14ac:dyDescent="0.3">
      <c r="A199" s="4">
        <v>196</v>
      </c>
      <c r="B199" s="5">
        <v>30188.428488883208</v>
      </c>
      <c r="C199" s="19">
        <v>-62.505205541532902</v>
      </c>
      <c r="D199" s="5">
        <v>57836.597816462221</v>
      </c>
      <c r="E199" s="6">
        <v>91.585321633288601</v>
      </c>
    </row>
    <row r="200" spans="1:5" x14ac:dyDescent="0.3">
      <c r="A200" s="4">
        <v>197</v>
      </c>
      <c r="B200" s="5">
        <v>56137.560310157511</v>
      </c>
      <c r="C200" s="19">
        <v>-30.275725150639545</v>
      </c>
      <c r="D200" s="5">
        <v>104172.65370642007</v>
      </c>
      <c r="E200" s="6">
        <v>85.566763377088023</v>
      </c>
    </row>
    <row r="201" spans="1:5" x14ac:dyDescent="0.3">
      <c r="A201" s="4">
        <v>198</v>
      </c>
      <c r="B201" s="5">
        <v>64193.503721564186</v>
      </c>
      <c r="C201" s="19">
        <v>-20.270038949022037</v>
      </c>
      <c r="D201" s="5">
        <v>115604.91147640767</v>
      </c>
      <c r="E201" s="6">
        <v>80.088178358105594</v>
      </c>
    </row>
    <row r="202" spans="1:5" x14ac:dyDescent="0.3">
      <c r="A202" s="4">
        <v>199</v>
      </c>
      <c r="B202" s="5">
        <v>46099.588117240892</v>
      </c>
      <c r="C202" s="19">
        <v>-42.743141408886125</v>
      </c>
      <c r="D202" s="5">
        <v>81976.755114352156</v>
      </c>
      <c r="E202" s="6">
        <v>77.825352595056003</v>
      </c>
    </row>
    <row r="203" spans="1:5" x14ac:dyDescent="0.3">
      <c r="A203" s="4">
        <v>200</v>
      </c>
      <c r="B203" s="5">
        <v>46712.507663353164</v>
      </c>
      <c r="C203" s="19">
        <v>-41.981879774829238</v>
      </c>
      <c r="D203" s="5">
        <v>100575.28257818024</v>
      </c>
      <c r="E203" s="6">
        <v>115.30696511307919</v>
      </c>
    </row>
    <row r="204" spans="1:5" x14ac:dyDescent="0.3">
      <c r="A204" s="4">
        <v>201</v>
      </c>
      <c r="B204" s="5">
        <v>66511.204218607803</v>
      </c>
      <c r="C204" s="19">
        <v>-17.391396101318364</v>
      </c>
      <c r="D204" s="5">
        <v>131074.6189776781</v>
      </c>
      <c r="E204" s="6">
        <v>97.071486702998868</v>
      </c>
    </row>
    <row r="205" spans="1:5" x14ac:dyDescent="0.3">
      <c r="A205" s="4">
        <v>202</v>
      </c>
      <c r="B205" s="5">
        <v>49888.729994232439</v>
      </c>
      <c r="C205" s="19">
        <v>-38.036931017573899</v>
      </c>
      <c r="D205" s="5">
        <v>92086.133448532128</v>
      </c>
      <c r="E205" s="6">
        <v>84.583038011146144</v>
      </c>
    </row>
    <row r="206" spans="1:5" x14ac:dyDescent="0.3">
      <c r="A206" s="4">
        <v>203</v>
      </c>
      <c r="B206" s="5">
        <v>51080.568898075755</v>
      </c>
      <c r="C206" s="19">
        <v>-36.556636846459092</v>
      </c>
      <c r="D206" s="5">
        <v>84375.832978955965</v>
      </c>
      <c r="E206" s="6">
        <v>65.181858383990061</v>
      </c>
    </row>
    <row r="207" spans="1:5" x14ac:dyDescent="0.3">
      <c r="A207" s="4">
        <v>204</v>
      </c>
      <c r="B207" s="5">
        <v>89045.507999818656</v>
      </c>
      <c r="C207" s="19">
        <v>10.596781184965272</v>
      </c>
      <c r="D207" s="5">
        <v>164961.46629253571</v>
      </c>
      <c r="E207" s="6">
        <v>85.255236336988119</v>
      </c>
    </row>
    <row r="208" spans="1:5" x14ac:dyDescent="0.3">
      <c r="A208" s="4">
        <v>205</v>
      </c>
      <c r="B208" s="5">
        <v>69750.424681547694</v>
      </c>
      <c r="C208" s="19">
        <v>-13.368202064957153</v>
      </c>
      <c r="D208" s="5">
        <v>124460.04162652063</v>
      </c>
      <c r="E208" s="6">
        <v>78.436249233972376</v>
      </c>
    </row>
    <row r="209" spans="1:5" x14ac:dyDescent="0.3">
      <c r="A209" s="4">
        <v>206</v>
      </c>
      <c r="B209" s="5">
        <v>83680.693843657267</v>
      </c>
      <c r="C209" s="19">
        <v>3.9335458275096933</v>
      </c>
      <c r="D209" s="5">
        <v>165418.87492242531</v>
      </c>
      <c r="E209" s="6">
        <v>97.678660781041714</v>
      </c>
    </row>
    <row r="210" spans="1:5" x14ac:dyDescent="0.3">
      <c r="A210" s="4">
        <v>207</v>
      </c>
      <c r="B210" s="5">
        <v>110004.11065035489</v>
      </c>
      <c r="C210" s="19">
        <v>36.627897670804288</v>
      </c>
      <c r="D210" s="5">
        <v>229370.87579900451</v>
      </c>
      <c r="E210" s="6">
        <v>108.51118603017815</v>
      </c>
    </row>
    <row r="211" spans="1:5" x14ac:dyDescent="0.3">
      <c r="A211" s="4">
        <v>208</v>
      </c>
      <c r="B211" s="5">
        <v>65377.067251708533</v>
      </c>
      <c r="C211" s="19">
        <v>-18.80002300209582</v>
      </c>
      <c r="D211" s="5">
        <v>125917.81745529483</v>
      </c>
      <c r="E211" s="6">
        <v>92.602425817753627</v>
      </c>
    </row>
    <row r="212" spans="1:5" x14ac:dyDescent="0.3">
      <c r="A212" s="4">
        <v>209</v>
      </c>
      <c r="B212" s="5">
        <v>66453.615844651387</v>
      </c>
      <c r="C212" s="19">
        <v>-17.462922323542497</v>
      </c>
      <c r="D212" s="5">
        <v>136848.81157544284</v>
      </c>
      <c r="E212" s="6">
        <v>105.93132493400255</v>
      </c>
    </row>
    <row r="213" spans="1:5" x14ac:dyDescent="0.3">
      <c r="A213" s="4">
        <v>210</v>
      </c>
      <c r="B213" s="5">
        <v>61738.806986135744</v>
      </c>
      <c r="C213" s="19">
        <v>-23.318834602186044</v>
      </c>
      <c r="D213" s="5">
        <v>123389.89285117357</v>
      </c>
      <c r="E213" s="6">
        <v>99.857915749623061</v>
      </c>
    </row>
    <row r="214" spans="1:5" x14ac:dyDescent="0.3">
      <c r="A214" s="4">
        <v>211</v>
      </c>
      <c r="B214" s="5">
        <v>114259.96731093687</v>
      </c>
      <c r="C214" s="19">
        <v>41.913779669994192</v>
      </c>
      <c r="D214" s="5">
        <v>162910.82514838231</v>
      </c>
      <c r="E214" s="6">
        <v>42.579093082576627</v>
      </c>
    </row>
    <row r="215" spans="1:5" x14ac:dyDescent="0.3">
      <c r="A215" s="4">
        <v>212</v>
      </c>
      <c r="B215" s="5">
        <v>105257.37144524819</v>
      </c>
      <c r="C215" s="19">
        <v>30.732327091204127</v>
      </c>
      <c r="D215" s="5">
        <v>157627.49179217583</v>
      </c>
      <c r="E215" s="6">
        <v>49.754349389362282</v>
      </c>
    </row>
    <row r="216" spans="1:5" x14ac:dyDescent="0.3">
      <c r="A216" s="4">
        <v>213</v>
      </c>
      <c r="B216" s="5">
        <v>108868.3777966394</v>
      </c>
      <c r="C216" s="19">
        <v>35.217288638092562</v>
      </c>
      <c r="D216" s="5">
        <v>234281.98538101299</v>
      </c>
      <c r="E216" s="6">
        <v>115.19746148752196</v>
      </c>
    </row>
    <row r="217" spans="1:5" x14ac:dyDescent="0.3">
      <c r="A217" s="4">
        <v>214</v>
      </c>
      <c r="B217" s="5">
        <v>113718.35551406047</v>
      </c>
      <c r="C217" s="19">
        <v>41.241084070498516</v>
      </c>
      <c r="D217" s="5">
        <v>188009.22932828648</v>
      </c>
      <c r="E217" s="6">
        <v>65.328832340563054</v>
      </c>
    </row>
    <row r="218" spans="1:5" x14ac:dyDescent="0.3">
      <c r="A218" s="4">
        <v>215</v>
      </c>
      <c r="B218" s="5">
        <v>76331.800144173409</v>
      </c>
      <c r="C218" s="19">
        <v>-5.1939666848007704</v>
      </c>
      <c r="D218" s="5">
        <v>135892.60444085542</v>
      </c>
      <c r="E218" s="6">
        <v>78.028821780942152</v>
      </c>
    </row>
    <row r="219" spans="1:5" x14ac:dyDescent="0.3">
      <c r="A219" s="4">
        <v>216</v>
      </c>
      <c r="B219" s="5">
        <v>78792.394324676352</v>
      </c>
      <c r="C219" s="19">
        <v>-2.1378462551589159</v>
      </c>
      <c r="D219" s="5">
        <v>140844.15111700672</v>
      </c>
      <c r="E219" s="6">
        <v>78.753485440024107</v>
      </c>
    </row>
    <row r="220" spans="1:5" x14ac:dyDescent="0.3">
      <c r="A220" s="4">
        <v>217</v>
      </c>
      <c r="B220" s="5">
        <v>85996.541272684801</v>
      </c>
      <c r="C220" s="19">
        <v>6.8098871177008178</v>
      </c>
      <c r="D220" s="5">
        <v>159960.25029569428</v>
      </c>
      <c r="E220" s="6">
        <v>86.007771857334774</v>
      </c>
    </row>
    <row r="221" spans="1:5" x14ac:dyDescent="0.3">
      <c r="A221" s="4">
        <v>218</v>
      </c>
      <c r="B221" s="5">
        <v>80819.074304398237</v>
      </c>
      <c r="C221" s="19">
        <v>0.37934172303429753</v>
      </c>
      <c r="D221" s="5">
        <v>134478.84841434751</v>
      </c>
      <c r="E221" s="6">
        <v>66.394937793823587</v>
      </c>
    </row>
    <row r="222" spans="1:5" x14ac:dyDescent="0.3">
      <c r="A222" s="4">
        <v>219</v>
      </c>
      <c r="B222" s="5">
        <v>41559.105911492821</v>
      </c>
      <c r="C222" s="19">
        <v>-48.382535559845095</v>
      </c>
      <c r="D222" s="5">
        <v>83087.981433900131</v>
      </c>
      <c r="E222" s="6">
        <v>99.927259289095645</v>
      </c>
    </row>
    <row r="223" spans="1:5" x14ac:dyDescent="0.3">
      <c r="A223" s="4">
        <v>220</v>
      </c>
      <c r="B223" s="5">
        <v>86082.985474222209</v>
      </c>
      <c r="C223" s="19">
        <v>6.9172530102303007</v>
      </c>
      <c r="D223" s="5">
        <v>162527.80486220046</v>
      </c>
      <c r="E223" s="6">
        <v>88.803634036217133</v>
      </c>
    </row>
    <row r="224" spans="1:5" x14ac:dyDescent="0.3">
      <c r="A224" s="4">
        <v>221</v>
      </c>
      <c r="B224" s="5">
        <v>53539.659228321594</v>
      </c>
      <c r="C224" s="19">
        <v>-33.502384237008911</v>
      </c>
      <c r="D224" s="5">
        <v>107090.52660797536</v>
      </c>
      <c r="E224" s="6">
        <v>100.02093429710558</v>
      </c>
    </row>
    <row r="225" spans="1:5" x14ac:dyDescent="0.3">
      <c r="A225" s="4">
        <v>222</v>
      </c>
      <c r="B225" s="5">
        <v>29842.607637670124</v>
      </c>
      <c r="C225" s="19">
        <v>-62.934723816737645</v>
      </c>
      <c r="D225" s="5">
        <v>54273.506106913213</v>
      </c>
      <c r="E225" s="6">
        <v>81.865830110650677</v>
      </c>
    </row>
    <row r="226" spans="1:5" x14ac:dyDescent="0.3">
      <c r="A226" s="4">
        <v>223</v>
      </c>
      <c r="B226" s="5">
        <v>121142.13408595561</v>
      </c>
      <c r="C226" s="19">
        <v>50.46160549515244</v>
      </c>
      <c r="D226" s="5">
        <v>237792.51034234028</v>
      </c>
      <c r="E226" s="6">
        <v>96.292158906178884</v>
      </c>
    </row>
    <row r="227" spans="1:5" x14ac:dyDescent="0.3">
      <c r="A227" s="4">
        <v>224</v>
      </c>
      <c r="B227" s="5">
        <v>32802.281352867089</v>
      </c>
      <c r="C227" s="19">
        <v>-59.25873393683041</v>
      </c>
      <c r="D227" s="5">
        <v>62771.447430411157</v>
      </c>
      <c r="E227" s="6">
        <v>91.36305415819686</v>
      </c>
    </row>
    <row r="228" spans="1:5" x14ac:dyDescent="0.3">
      <c r="A228" s="4">
        <v>225</v>
      </c>
      <c r="B228" s="5">
        <v>61138.325854988623</v>
      </c>
      <c r="C228" s="19">
        <v>-24.064647409130934</v>
      </c>
      <c r="D228" s="5">
        <v>110287.34200063591</v>
      </c>
      <c r="E228" s="6">
        <v>80.389862591628258</v>
      </c>
    </row>
    <row r="229" spans="1:5" x14ac:dyDescent="0.3">
      <c r="A229" s="4">
        <v>226</v>
      </c>
      <c r="B229" s="5">
        <v>55447.960600773462</v>
      </c>
      <c r="C229" s="19">
        <v>-31.132225493858634</v>
      </c>
      <c r="D229" s="5">
        <v>113488.53509383147</v>
      </c>
      <c r="E229" s="6">
        <v>104.67576059460765</v>
      </c>
    </row>
    <row r="230" spans="1:5" x14ac:dyDescent="0.3">
      <c r="A230" s="4">
        <v>227</v>
      </c>
      <c r="B230" s="5">
        <v>76402.004887177012</v>
      </c>
      <c r="C230" s="19">
        <v>-5.1067706119777361</v>
      </c>
      <c r="D230" s="5">
        <v>147160.07418619029</v>
      </c>
      <c r="E230" s="6">
        <v>92.612843607313522</v>
      </c>
    </row>
    <row r="231" spans="1:5" x14ac:dyDescent="0.3">
      <c r="A231" s="4">
        <v>228</v>
      </c>
      <c r="B231" s="5">
        <v>18999.888313648946</v>
      </c>
      <c r="C231" s="19">
        <v>-76.401656438776328</v>
      </c>
      <c r="D231" s="5">
        <v>39384.304498295234</v>
      </c>
      <c r="E231" s="6">
        <v>107.28703162956353</v>
      </c>
    </row>
    <row r="232" spans="1:5" x14ac:dyDescent="0.3">
      <c r="A232" s="4">
        <v>229</v>
      </c>
      <c r="B232" s="5">
        <v>74304.273146775333</v>
      </c>
      <c r="C232" s="19">
        <v>-7.7122066804477294</v>
      </c>
      <c r="D232" s="5">
        <v>145417.74205881261</v>
      </c>
      <c r="E232" s="6">
        <v>95.705759440732081</v>
      </c>
    </row>
    <row r="233" spans="1:5" x14ac:dyDescent="0.3">
      <c r="A233" s="4">
        <v>230</v>
      </c>
      <c r="B233" s="5">
        <v>108762.50094794316</v>
      </c>
      <c r="C233" s="19">
        <v>35.085786904531382</v>
      </c>
      <c r="D233" s="5">
        <v>190574.22891463229</v>
      </c>
      <c r="E233" s="6">
        <v>75.22052844835423</v>
      </c>
    </row>
    <row r="234" spans="1:5" x14ac:dyDescent="0.3">
      <c r="A234" s="4">
        <v>231</v>
      </c>
      <c r="B234" s="5">
        <v>53520.532480421498</v>
      </c>
      <c r="C234" s="19">
        <v>-33.526140143396596</v>
      </c>
      <c r="D234" s="5">
        <v>111191.10675387199</v>
      </c>
      <c r="E234" s="6">
        <v>107.75411155437801</v>
      </c>
    </row>
    <row r="235" spans="1:5" x14ac:dyDescent="0.3">
      <c r="A235" s="4">
        <v>232</v>
      </c>
      <c r="B235" s="5">
        <v>43104.154494456234</v>
      </c>
      <c r="C235" s="19">
        <v>-46.463546001713844</v>
      </c>
      <c r="D235" s="5">
        <v>94037.655915466908</v>
      </c>
      <c r="E235" s="6">
        <v>118.1637872691863</v>
      </c>
    </row>
    <row r="236" spans="1:5" x14ac:dyDescent="0.3">
      <c r="A236" s="4">
        <v>233</v>
      </c>
      <c r="B236" s="5">
        <v>59292.624170636671</v>
      </c>
      <c r="C236" s="19">
        <v>-26.357055750688268</v>
      </c>
      <c r="D236" s="5">
        <v>111260.05384070509</v>
      </c>
      <c r="E236" s="6">
        <v>87.645690162932794</v>
      </c>
    </row>
    <row r="237" spans="1:5" x14ac:dyDescent="0.3">
      <c r="A237" s="4">
        <v>234</v>
      </c>
      <c r="B237" s="5">
        <v>43689.736808439651</v>
      </c>
      <c r="C237" s="19">
        <v>-45.736237903864129</v>
      </c>
      <c r="D237" s="5">
        <v>81988.599096450955</v>
      </c>
      <c r="E237" s="6">
        <v>87.661004816611808</v>
      </c>
    </row>
    <row r="238" spans="1:5" x14ac:dyDescent="0.3">
      <c r="A238" s="4">
        <v>235</v>
      </c>
      <c r="B238" s="5">
        <v>53214.299246213595</v>
      </c>
      <c r="C238" s="19">
        <v>-33.906489593425277</v>
      </c>
      <c r="D238" s="5">
        <v>99448.377397248303</v>
      </c>
      <c r="E238" s="6">
        <v>86.882809331223967</v>
      </c>
    </row>
    <row r="239" spans="1:5" x14ac:dyDescent="0.3">
      <c r="A239" s="4">
        <v>236</v>
      </c>
      <c r="B239" s="5">
        <v>72741.599778650605</v>
      </c>
      <c r="C239" s="19">
        <v>-9.6530866691206576</v>
      </c>
      <c r="D239" s="5">
        <v>123233.43429941061</v>
      </c>
      <c r="E239" s="6">
        <v>69.412598395422123</v>
      </c>
    </row>
    <row r="240" spans="1:5" x14ac:dyDescent="0.3">
      <c r="A240" s="4">
        <v>237</v>
      </c>
      <c r="B240" s="5">
        <v>36469.26682461876</v>
      </c>
      <c r="C240" s="19">
        <v>-54.70424490153183</v>
      </c>
      <c r="D240" s="5">
        <v>68448.964744283308</v>
      </c>
      <c r="E240" s="6">
        <v>87.689445673408756</v>
      </c>
    </row>
    <row r="241" spans="1:5" x14ac:dyDescent="0.3">
      <c r="A241" s="4">
        <v>238</v>
      </c>
      <c r="B241" s="5">
        <v>80489.370473640956</v>
      </c>
      <c r="C241" s="19">
        <v>-3.0158803664724801E-2</v>
      </c>
      <c r="D241" s="5">
        <v>136425.04592802766</v>
      </c>
      <c r="E241" s="6">
        <v>69.494487440058663</v>
      </c>
    </row>
    <row r="242" spans="1:5" x14ac:dyDescent="0.3">
      <c r="A242" s="4">
        <v>239</v>
      </c>
      <c r="B242" s="5">
        <v>40981.532548794043</v>
      </c>
      <c r="C242" s="19">
        <v>-49.099896336907442</v>
      </c>
      <c r="D242" s="5">
        <v>74187.983796481727</v>
      </c>
      <c r="E242" s="6">
        <v>81.027841523864254</v>
      </c>
    </row>
    <row r="243" spans="1:5" x14ac:dyDescent="0.3">
      <c r="A243" s="4">
        <v>240</v>
      </c>
      <c r="B243" s="5">
        <v>61073.778276770267</v>
      </c>
      <c r="C243" s="19">
        <v>-24.144817139694432</v>
      </c>
      <c r="D243" s="5">
        <v>112698.77729433175</v>
      </c>
      <c r="E243" s="6">
        <v>84.528909908947497</v>
      </c>
    </row>
    <row r="244" spans="1:5" x14ac:dyDescent="0.3">
      <c r="A244" s="4">
        <v>241</v>
      </c>
      <c r="B244" s="5">
        <v>27434.5924142074</v>
      </c>
      <c r="C244" s="19">
        <v>-65.925539847119708</v>
      </c>
      <c r="D244" s="5">
        <v>57967.321444655798</v>
      </c>
      <c r="E244" s="6">
        <v>111.29281080420419</v>
      </c>
    </row>
    <row r="245" spans="1:5" x14ac:dyDescent="0.3">
      <c r="A245" s="4">
        <v>242</v>
      </c>
      <c r="B245" s="5">
        <v>66047.445294515637</v>
      </c>
      <c r="C245" s="19">
        <v>-17.967396456670379</v>
      </c>
      <c r="D245" s="5">
        <v>120029.62899531826</v>
      </c>
      <c r="E245" s="6">
        <v>81.732432587040762</v>
      </c>
    </row>
    <row r="246" spans="1:5" x14ac:dyDescent="0.3">
      <c r="A246" s="4">
        <v>243</v>
      </c>
      <c r="B246" s="5">
        <v>76755.686200831624</v>
      </c>
      <c r="C246" s="19">
        <v>-4.6674894428978781</v>
      </c>
      <c r="D246" s="5">
        <v>149411.13997247923</v>
      </c>
      <c r="E246" s="6">
        <v>94.658073385656735</v>
      </c>
    </row>
    <row r="247" spans="1:5" x14ac:dyDescent="0.3">
      <c r="A247" s="4">
        <v>244</v>
      </c>
      <c r="B247" s="5">
        <v>61823.698369235404</v>
      </c>
      <c r="C247" s="19">
        <v>-23.213397349571558</v>
      </c>
      <c r="D247" s="5">
        <v>114754.80867366797</v>
      </c>
      <c r="E247" s="6">
        <v>85.616214656566143</v>
      </c>
    </row>
    <row r="248" spans="1:5" x14ac:dyDescent="0.3">
      <c r="A248" s="4">
        <v>245</v>
      </c>
      <c r="B248" s="5">
        <v>79395.03294872251</v>
      </c>
      <c r="C248" s="19">
        <v>-1.3893537872696067</v>
      </c>
      <c r="D248" s="5">
        <v>148814.81145531393</v>
      </c>
      <c r="E248" s="6">
        <v>87.435921276619865</v>
      </c>
    </row>
    <row r="249" spans="1:5" x14ac:dyDescent="0.3">
      <c r="A249" s="4">
        <v>246</v>
      </c>
      <c r="B249" s="5">
        <v>93539.970117583158</v>
      </c>
      <c r="C249" s="19">
        <v>16.17901721851711</v>
      </c>
      <c r="D249" s="5">
        <v>179630.81178037819</v>
      </c>
      <c r="E249" s="6">
        <v>92.036422028546411</v>
      </c>
    </row>
    <row r="250" spans="1:5" x14ac:dyDescent="0.3">
      <c r="A250" s="4">
        <v>247</v>
      </c>
      <c r="B250" s="5">
        <v>78776.765053694617</v>
      </c>
      <c r="C250" s="19">
        <v>-2.1572582064372554</v>
      </c>
      <c r="D250" s="5">
        <v>131265.15484793013</v>
      </c>
      <c r="E250" s="6">
        <v>66.629278009142894</v>
      </c>
    </row>
    <row r="251" spans="1:5" x14ac:dyDescent="0.3">
      <c r="A251" s="4">
        <v>248</v>
      </c>
      <c r="B251" s="5">
        <v>51157.616773057845</v>
      </c>
      <c r="C251" s="19">
        <v>-36.46094143001902</v>
      </c>
      <c r="D251" s="5">
        <v>97553.359680399124</v>
      </c>
      <c r="E251" s="6">
        <v>90.691759768949183</v>
      </c>
    </row>
    <row r="252" spans="1:5" x14ac:dyDescent="0.3">
      <c r="A252" s="4">
        <v>249</v>
      </c>
      <c r="B252" s="5">
        <v>20378.780288125523</v>
      </c>
      <c r="C252" s="19">
        <v>-74.689037605952109</v>
      </c>
      <c r="D252" s="5">
        <v>43823.467521093007</v>
      </c>
      <c r="E252" s="6">
        <v>115.04460473833377</v>
      </c>
    </row>
    <row r="253" spans="1:5" x14ac:dyDescent="0.3">
      <c r="A253" s="4">
        <v>250</v>
      </c>
      <c r="B253" s="5">
        <v>39342.23212227063</v>
      </c>
      <c r="C253" s="19">
        <v>-51.135949077142243</v>
      </c>
      <c r="D253" s="5">
        <v>85899.626825730098</v>
      </c>
      <c r="E253" s="6">
        <v>118.33948454872878</v>
      </c>
    </row>
    <row r="254" spans="1:5" x14ac:dyDescent="0.3">
      <c r="A254" s="4">
        <v>251</v>
      </c>
      <c r="B254" s="5">
        <v>50757.655105305137</v>
      </c>
      <c r="C254" s="19">
        <v>-36.957703973626607</v>
      </c>
      <c r="D254" s="5">
        <v>107939.01681985715</v>
      </c>
      <c r="E254" s="6">
        <v>112.6556409982294</v>
      </c>
    </row>
    <row r="255" spans="1:5" x14ac:dyDescent="0.3">
      <c r="A255" s="4">
        <v>252</v>
      </c>
      <c r="B255" s="5">
        <v>63112.194643334871</v>
      </c>
      <c r="C255" s="19">
        <v>-21.613052271136919</v>
      </c>
      <c r="D255" s="5">
        <v>129482.53105125407</v>
      </c>
      <c r="E255" s="6">
        <v>105.16245993820534</v>
      </c>
    </row>
    <row r="256" spans="1:5" x14ac:dyDescent="0.3">
      <c r="A256" s="4">
        <v>253</v>
      </c>
      <c r="B256" s="5">
        <v>54189.111558318502</v>
      </c>
      <c r="C256" s="19">
        <v>-32.695747958052763</v>
      </c>
      <c r="D256" s="5">
        <v>108847.01479494919</v>
      </c>
      <c r="E256" s="6">
        <v>100.86510308958965</v>
      </c>
    </row>
    <row r="257" spans="1:5" x14ac:dyDescent="0.3">
      <c r="A257" s="4">
        <v>254</v>
      </c>
      <c r="B257" s="5">
        <v>96142.524673213353</v>
      </c>
      <c r="C257" s="19">
        <v>19.411456037458468</v>
      </c>
      <c r="D257" s="5">
        <v>156925.14777909665</v>
      </c>
      <c r="E257" s="6">
        <v>63.221371929312539</v>
      </c>
    </row>
    <row r="258" spans="1:5" x14ac:dyDescent="0.3">
      <c r="A258" s="4">
        <v>255</v>
      </c>
      <c r="B258" s="5">
        <v>37565.156401133398</v>
      </c>
      <c r="C258" s="19">
        <v>-53.343122230448628</v>
      </c>
      <c r="D258" s="5">
        <v>73188.786766114499</v>
      </c>
      <c r="E258" s="6">
        <v>94.83157739203844</v>
      </c>
    </row>
    <row r="259" spans="1:5" x14ac:dyDescent="0.3">
      <c r="A259" s="4">
        <v>256</v>
      </c>
      <c r="B259" s="5">
        <v>115535.7084444263</v>
      </c>
      <c r="C259" s="19">
        <v>43.498282540026416</v>
      </c>
      <c r="D259" s="5">
        <v>189565.52467072415</v>
      </c>
      <c r="E259" s="6">
        <v>64.075269215929751</v>
      </c>
    </row>
    <row r="260" spans="1:5" x14ac:dyDescent="0.3">
      <c r="A260" s="4">
        <v>257</v>
      </c>
      <c r="B260" s="5">
        <v>52846.83904757</v>
      </c>
      <c r="C260" s="19">
        <v>-34.362884487411982</v>
      </c>
      <c r="D260" s="5">
        <v>91451.003881276716</v>
      </c>
      <c r="E260" s="6">
        <v>73.049146419064414</v>
      </c>
    </row>
    <row r="261" spans="1:5" x14ac:dyDescent="0.3">
      <c r="A261" s="4">
        <v>258</v>
      </c>
      <c r="B261" s="5">
        <v>90973.748451355917</v>
      </c>
      <c r="C261" s="19">
        <v>12.991704770454835</v>
      </c>
      <c r="D261" s="5">
        <v>149874.58017102259</v>
      </c>
      <c r="E261" s="6">
        <v>64.744866208476864</v>
      </c>
    </row>
    <row r="262" spans="1:5" x14ac:dyDescent="0.3">
      <c r="A262" s="4">
        <v>259</v>
      </c>
      <c r="B262" s="5">
        <v>44024.377782838848</v>
      </c>
      <c r="C262" s="19">
        <v>-45.320605319441938</v>
      </c>
      <c r="D262" s="5">
        <v>78973.812079644675</v>
      </c>
      <c r="E262" s="6">
        <v>79.386549127854948</v>
      </c>
    </row>
    <row r="263" spans="1:5" x14ac:dyDescent="0.3">
      <c r="A263" s="4">
        <v>260</v>
      </c>
      <c r="B263" s="5">
        <v>80476.602044816085</v>
      </c>
      <c r="C263" s="19">
        <v>-4.6017516367256026E-2</v>
      </c>
      <c r="D263" s="5">
        <v>126294.59472186497</v>
      </c>
      <c r="E263" s="6">
        <v>56.933309201516238</v>
      </c>
    </row>
    <row r="264" spans="1:5" x14ac:dyDescent="0.3">
      <c r="A264" s="4">
        <v>261</v>
      </c>
      <c r="B264" s="5">
        <v>66879.383028476121</v>
      </c>
      <c r="C264" s="19">
        <v>-16.934108673949989</v>
      </c>
      <c r="D264" s="5">
        <v>111950.65776379312</v>
      </c>
      <c r="E264" s="6">
        <v>67.39188176440922</v>
      </c>
    </row>
    <row r="265" spans="1:5" x14ac:dyDescent="0.3">
      <c r="A265" s="4">
        <v>262</v>
      </c>
      <c r="B265" s="5">
        <v>53233.105759009784</v>
      </c>
      <c r="C265" s="19">
        <v>-33.883131427165203</v>
      </c>
      <c r="D265" s="5">
        <v>108936.91950918308</v>
      </c>
      <c r="E265" s="6">
        <v>104.64129972492793</v>
      </c>
    </row>
    <row r="266" spans="1:5" x14ac:dyDescent="0.3">
      <c r="A266" s="4">
        <v>263</v>
      </c>
      <c r="B266" s="5">
        <v>73479.080267012876</v>
      </c>
      <c r="C266" s="19">
        <v>-8.7371171830490013</v>
      </c>
      <c r="D266" s="5">
        <v>149061.52294744304</v>
      </c>
      <c r="E266" s="6">
        <v>102.86253230956888</v>
      </c>
    </row>
    <row r="267" spans="1:5" x14ac:dyDescent="0.3">
      <c r="A267" s="4">
        <v>264</v>
      </c>
      <c r="B267" s="5">
        <v>47937.545537674378</v>
      </c>
      <c r="C267" s="19">
        <v>-40.460351639688788</v>
      </c>
      <c r="D267" s="5">
        <v>84458.265164988785</v>
      </c>
      <c r="E267" s="6">
        <v>76.18395814323155</v>
      </c>
    </row>
    <row r="268" spans="1:5" x14ac:dyDescent="0.3">
      <c r="A268" s="4">
        <v>265</v>
      </c>
      <c r="B268" s="5">
        <v>50763.778032561502</v>
      </c>
      <c r="C268" s="19">
        <v>-36.950099142555452</v>
      </c>
      <c r="D268" s="5">
        <v>87540.40900526497</v>
      </c>
      <c r="E268" s="6">
        <v>72.446599520456829</v>
      </c>
    </row>
    <row r="269" spans="1:5" x14ac:dyDescent="0.3">
      <c r="A269" s="4">
        <v>266</v>
      </c>
      <c r="B269" s="5">
        <v>60962.359912029628</v>
      </c>
      <c r="C269" s="19">
        <v>-24.283201576843492</v>
      </c>
      <c r="D269" s="5">
        <v>113657.96222497837</v>
      </c>
      <c r="E269" s="6">
        <v>86.439570890939848</v>
      </c>
    </row>
    <row r="270" spans="1:5" x14ac:dyDescent="0.3">
      <c r="A270" s="4">
        <v>267</v>
      </c>
      <c r="B270" s="5">
        <v>70655.050661806847</v>
      </c>
      <c r="C270" s="19">
        <v>-12.244633635282295</v>
      </c>
      <c r="D270" s="5">
        <v>138622.85278748532</v>
      </c>
      <c r="E270" s="6">
        <v>96.196664624881535</v>
      </c>
    </row>
    <row r="271" spans="1:5" x14ac:dyDescent="0.3">
      <c r="A271" s="4">
        <v>268</v>
      </c>
      <c r="B271" s="5">
        <v>30274.623052301278</v>
      </c>
      <c r="C271" s="19">
        <v>-62.398149705884222</v>
      </c>
      <c r="D271" s="5">
        <v>63662.060154165665</v>
      </c>
      <c r="E271" s="6">
        <v>110.28192504390732</v>
      </c>
    </row>
    <row r="272" spans="1:5" x14ac:dyDescent="0.3">
      <c r="A272" s="4">
        <v>269</v>
      </c>
      <c r="B272" s="5">
        <v>75031.546818959323</v>
      </c>
      <c r="C272" s="19">
        <v>-6.8089143191499222</v>
      </c>
      <c r="D272" s="5">
        <v>150422.32687635993</v>
      </c>
      <c r="E272" s="6">
        <v>100.47877626634576</v>
      </c>
    </row>
    <row r="273" spans="1:5" x14ac:dyDescent="0.3">
      <c r="A273" s="4">
        <v>270</v>
      </c>
      <c r="B273" s="5">
        <v>44976.995583835931</v>
      </c>
      <c r="C273" s="19">
        <v>-44.137429830230381</v>
      </c>
      <c r="D273" s="5">
        <v>108089.7167698734</v>
      </c>
      <c r="E273" s="6">
        <v>140.32222554393837</v>
      </c>
    </row>
    <row r="274" spans="1:5" x14ac:dyDescent="0.3">
      <c r="A274" s="4">
        <v>271</v>
      </c>
      <c r="B274" s="5">
        <v>24504.916945141355</v>
      </c>
      <c r="C274" s="19">
        <v>-69.564271143884483</v>
      </c>
      <c r="D274" s="5">
        <v>49371.116128718531</v>
      </c>
      <c r="E274" s="6">
        <v>101.47432549657123</v>
      </c>
    </row>
    <row r="275" spans="1:5" x14ac:dyDescent="0.3">
      <c r="A275" s="4">
        <v>272</v>
      </c>
      <c r="B275" s="5">
        <v>42255.415545943535</v>
      </c>
      <c r="C275" s="19">
        <v>-47.517701319374645</v>
      </c>
      <c r="D275" s="5">
        <v>89493.086740979023</v>
      </c>
      <c r="E275" s="6">
        <v>111.79080973342894</v>
      </c>
    </row>
    <row r="276" spans="1:5" x14ac:dyDescent="0.3">
      <c r="A276" s="4">
        <v>273</v>
      </c>
      <c r="B276" s="5">
        <v>110970.53494766807</v>
      </c>
      <c r="C276" s="19">
        <v>37.828221178891823</v>
      </c>
      <c r="D276" s="5">
        <v>202462.66191058708</v>
      </c>
      <c r="E276" s="6">
        <v>82.447225298197608</v>
      </c>
    </row>
    <row r="277" spans="1:5" x14ac:dyDescent="0.3">
      <c r="A277" s="4">
        <v>274</v>
      </c>
      <c r="B277" s="5">
        <v>54891.157329626287</v>
      </c>
      <c r="C277" s="19">
        <v>-31.82378929000501</v>
      </c>
      <c r="D277" s="5">
        <v>111547.91782393413</v>
      </c>
      <c r="E277" s="6">
        <v>103.21655299428095</v>
      </c>
    </row>
    <row r="278" spans="1:5" x14ac:dyDescent="0.3">
      <c r="A278" s="4">
        <v>275</v>
      </c>
      <c r="B278" s="5">
        <v>64837.541042766468</v>
      </c>
      <c r="C278" s="19">
        <v>-19.47012824843841</v>
      </c>
      <c r="D278" s="5">
        <v>141110.77975977075</v>
      </c>
      <c r="E278" s="6">
        <v>117.63746355941367</v>
      </c>
    </row>
    <row r="279" spans="1:5" x14ac:dyDescent="0.3">
      <c r="A279" s="4">
        <v>276</v>
      </c>
      <c r="B279" s="5">
        <v>25939.710703164077</v>
      </c>
      <c r="C279" s="19">
        <v>-67.78222087693652</v>
      </c>
      <c r="D279" s="5">
        <v>47058.087612057403</v>
      </c>
      <c r="E279" s="6">
        <v>81.413309310027685</v>
      </c>
    </row>
    <row r="280" spans="1:5" x14ac:dyDescent="0.3">
      <c r="A280" s="4">
        <v>277</v>
      </c>
      <c r="B280" s="5">
        <v>93321.804207529451</v>
      </c>
      <c r="C280" s="19">
        <v>15.908049620507811</v>
      </c>
      <c r="D280" s="5">
        <v>165005.42819873613</v>
      </c>
      <c r="E280" s="6">
        <v>76.813371322950758</v>
      </c>
    </row>
    <row r="281" spans="1:5" x14ac:dyDescent="0.3">
      <c r="A281" s="4">
        <v>278</v>
      </c>
      <c r="B281" s="5">
        <v>57212.781211761911</v>
      </c>
      <c r="C281" s="19">
        <v>-28.94027349842947</v>
      </c>
      <c r="D281" s="5">
        <v>108793.35508537965</v>
      </c>
      <c r="E281" s="6">
        <v>90.155683365054983</v>
      </c>
    </row>
    <row r="282" spans="1:5" x14ac:dyDescent="0.3">
      <c r="A282" s="4">
        <v>279</v>
      </c>
      <c r="B282" s="5">
        <v>30852.969532305604</v>
      </c>
      <c r="C282" s="19">
        <v>-61.679828697504277</v>
      </c>
      <c r="D282" s="5">
        <v>68484.577615200964</v>
      </c>
      <c r="E282" s="6">
        <v>121.9707815920019</v>
      </c>
    </row>
    <row r="283" spans="1:5" x14ac:dyDescent="0.3">
      <c r="A283" s="4">
        <v>280</v>
      </c>
      <c r="B283" s="5">
        <v>42995.209061483853</v>
      </c>
      <c r="C283" s="19">
        <v>-46.598858994836107</v>
      </c>
      <c r="D283" s="5">
        <v>90980.312203571739</v>
      </c>
      <c r="E283" s="6">
        <v>111.60569791268698</v>
      </c>
    </row>
    <row r="284" spans="1:5" x14ac:dyDescent="0.3">
      <c r="A284" s="4">
        <v>281</v>
      </c>
      <c r="B284" s="5">
        <v>63173.048540528536</v>
      </c>
      <c r="C284" s="19">
        <v>-21.537470186163091</v>
      </c>
      <c r="D284" s="5">
        <v>119680.84795255531</v>
      </c>
      <c r="E284" s="6">
        <v>89.449220383553779</v>
      </c>
    </row>
    <row r="285" spans="1:5" x14ac:dyDescent="0.3">
      <c r="A285" s="4">
        <v>282</v>
      </c>
      <c r="B285" s="5">
        <v>40707.348131644911</v>
      </c>
      <c r="C285" s="19">
        <v>-49.44044034265147</v>
      </c>
      <c r="D285" s="5">
        <v>68660.471820164661</v>
      </c>
      <c r="E285" s="6">
        <v>68.668495914106643</v>
      </c>
    </row>
    <row r="286" spans="1:5" x14ac:dyDescent="0.3">
      <c r="A286" s="4">
        <v>283</v>
      </c>
      <c r="B286" s="5">
        <v>115693.71382215127</v>
      </c>
      <c r="C286" s="19">
        <v>43.694529229823864</v>
      </c>
      <c r="D286" s="5">
        <v>187021.76815262117</v>
      </c>
      <c r="E286" s="6">
        <v>61.652489123236251</v>
      </c>
    </row>
    <row r="287" spans="1:5" x14ac:dyDescent="0.3">
      <c r="A287" s="4">
        <v>284</v>
      </c>
      <c r="B287" s="5">
        <v>56554.807321869252</v>
      </c>
      <c r="C287" s="19">
        <v>-29.757493771079574</v>
      </c>
      <c r="D287" s="5">
        <v>107697.51211277401</v>
      </c>
      <c r="E287" s="6">
        <v>90.43034043036748</v>
      </c>
    </row>
    <row r="288" spans="1:5" x14ac:dyDescent="0.3">
      <c r="A288" s="4">
        <v>285</v>
      </c>
      <c r="B288" s="5">
        <v>53695.647025981438</v>
      </c>
      <c r="C288" s="19">
        <v>-33.308643432864748</v>
      </c>
      <c r="D288" s="5">
        <v>100275.03155453182</v>
      </c>
      <c r="E288" s="6">
        <v>86.747040232166768</v>
      </c>
    </row>
    <row r="289" spans="1:5" x14ac:dyDescent="0.3">
      <c r="A289" s="4">
        <v>286</v>
      </c>
      <c r="B289" s="5">
        <v>33311.088670647456</v>
      </c>
      <c r="C289" s="19">
        <v>-58.626782333050699</v>
      </c>
      <c r="D289" s="5">
        <v>64615.283855289053</v>
      </c>
      <c r="E289" s="6">
        <v>93.975299018749098</v>
      </c>
    </row>
    <row r="290" spans="1:5" x14ac:dyDescent="0.3">
      <c r="A290" s="4">
        <v>287</v>
      </c>
      <c r="B290" s="5">
        <v>58992.089273458048</v>
      </c>
      <c r="C290" s="19">
        <v>-26.730327721485246</v>
      </c>
      <c r="D290" s="5">
        <v>108523.19129281559</v>
      </c>
      <c r="E290" s="6">
        <v>83.96227804334228</v>
      </c>
    </row>
    <row r="291" spans="1:5" x14ac:dyDescent="0.3">
      <c r="A291" s="4">
        <v>288</v>
      </c>
      <c r="B291" s="5">
        <v>66873.116693663978</v>
      </c>
      <c r="C291" s="19">
        <v>-16.941891620845542</v>
      </c>
      <c r="D291" s="5">
        <v>118454.25797149712</v>
      </c>
      <c r="E291" s="6">
        <v>77.132850730015846</v>
      </c>
    </row>
    <row r="292" spans="1:5" x14ac:dyDescent="0.3">
      <c r="A292" s="4">
        <v>289</v>
      </c>
      <c r="B292" s="5">
        <v>67885.384706982251</v>
      </c>
      <c r="C292" s="19">
        <v>-15.684629053824995</v>
      </c>
      <c r="D292" s="5">
        <v>128210.13993623534</v>
      </c>
      <c r="E292" s="6">
        <v>88.862655031913633</v>
      </c>
    </row>
    <row r="293" spans="1:5" x14ac:dyDescent="0.3">
      <c r="A293" s="4">
        <v>290</v>
      </c>
      <c r="B293" s="5">
        <v>111037.30347885315</v>
      </c>
      <c r="C293" s="19">
        <v>37.911149389414618</v>
      </c>
      <c r="D293" s="5">
        <v>217858.56282367746</v>
      </c>
      <c r="E293" s="6">
        <v>96.203038076449886</v>
      </c>
    </row>
    <row r="294" spans="1:5" x14ac:dyDescent="0.3">
      <c r="A294" s="4">
        <v>291</v>
      </c>
      <c r="B294" s="5">
        <v>63325.649776796439</v>
      </c>
      <c r="C294" s="19">
        <v>-21.347935577229073</v>
      </c>
      <c r="D294" s="5">
        <v>117479.31078125523</v>
      </c>
      <c r="E294" s="6">
        <v>85.516155294630053</v>
      </c>
    </row>
    <row r="295" spans="1:5" x14ac:dyDescent="0.3">
      <c r="A295" s="4">
        <v>292</v>
      </c>
      <c r="B295" s="5">
        <v>45641.48611984383</v>
      </c>
      <c r="C295" s="19">
        <v>-43.312115717692599</v>
      </c>
      <c r="D295" s="5">
        <v>100308.26693017238</v>
      </c>
      <c r="E295" s="6">
        <v>119.77432256869642</v>
      </c>
    </row>
    <row r="296" spans="1:5" x14ac:dyDescent="0.3">
      <c r="A296" s="4">
        <v>293</v>
      </c>
      <c r="B296" s="5">
        <v>88261.395976019456</v>
      </c>
      <c r="C296" s="19">
        <v>9.6228941482289869</v>
      </c>
      <c r="D296" s="5">
        <v>152549.6041501014</v>
      </c>
      <c r="E296" s="6">
        <v>72.838422124604733</v>
      </c>
    </row>
    <row r="297" spans="1:5" x14ac:dyDescent="0.3">
      <c r="A297" s="4">
        <v>294</v>
      </c>
      <c r="B297" s="5">
        <v>58104.655465301352</v>
      </c>
      <c r="C297" s="19">
        <v>-27.832543037018588</v>
      </c>
      <c r="D297" s="5">
        <v>112538.03229759588</v>
      </c>
      <c r="E297" s="6">
        <v>93.681610184920189</v>
      </c>
    </row>
    <row r="298" spans="1:5" x14ac:dyDescent="0.3">
      <c r="A298" s="4">
        <v>295</v>
      </c>
      <c r="B298" s="5">
        <v>68503.587753714382</v>
      </c>
      <c r="C298" s="19">
        <v>-14.916805177886733</v>
      </c>
      <c r="D298" s="5">
        <v>128896.48857259768</v>
      </c>
      <c r="E298" s="6">
        <v>88.160201237939816</v>
      </c>
    </row>
    <row r="299" spans="1:5" x14ac:dyDescent="0.3">
      <c r="A299" s="4">
        <v>296</v>
      </c>
      <c r="B299" s="5">
        <v>42961.555180910756</v>
      </c>
      <c r="C299" s="19">
        <v>-46.640657968747007</v>
      </c>
      <c r="D299" s="5">
        <v>80419.175498634766</v>
      </c>
      <c r="E299" s="6">
        <v>87.188697336468096</v>
      </c>
    </row>
    <row r="300" spans="1:5" x14ac:dyDescent="0.3">
      <c r="A300" s="4">
        <v>297</v>
      </c>
      <c r="B300" s="5">
        <v>79106.471819429455</v>
      </c>
      <c r="C300" s="19">
        <v>-1.7477540344216078</v>
      </c>
      <c r="D300" s="5">
        <v>134373.91121992361</v>
      </c>
      <c r="E300" s="6">
        <v>69.864624384524561</v>
      </c>
    </row>
    <row r="301" spans="1:5" x14ac:dyDescent="0.3">
      <c r="A301" s="4">
        <v>298</v>
      </c>
      <c r="B301" s="5">
        <v>29594.631756470539</v>
      </c>
      <c r="C301" s="19">
        <v>-63.242716155578982</v>
      </c>
      <c r="D301" s="5">
        <v>66133.104682476347</v>
      </c>
      <c r="E301" s="6">
        <v>123.46317814215438</v>
      </c>
    </row>
    <row r="302" spans="1:5" x14ac:dyDescent="0.3">
      <c r="A302" s="4">
        <v>299</v>
      </c>
      <c r="B302" s="5">
        <v>58171.177558555893</v>
      </c>
      <c r="C302" s="19">
        <v>-27.749920908660876</v>
      </c>
      <c r="D302" s="5">
        <v>114656.50847445091</v>
      </c>
      <c r="E302" s="6">
        <v>97.101921065696345</v>
      </c>
    </row>
    <row r="303" spans="1:5" x14ac:dyDescent="0.3">
      <c r="A303" s="4">
        <v>300</v>
      </c>
      <c r="B303" s="5">
        <v>84231.076727170555</v>
      </c>
      <c r="C303" s="19">
        <v>4.6171353392455723</v>
      </c>
      <c r="D303" s="5">
        <v>154277.27917358224</v>
      </c>
      <c r="E303" s="6">
        <v>83.159571464692874</v>
      </c>
    </row>
    <row r="304" spans="1:5" x14ac:dyDescent="0.3">
      <c r="A304" s="4">
        <v>301</v>
      </c>
      <c r="B304" s="5">
        <v>27184.655586772504</v>
      </c>
      <c r="C304" s="19">
        <v>-66.235967730960169</v>
      </c>
      <c r="D304" s="5">
        <v>58256.739205091639</v>
      </c>
      <c r="E304" s="6">
        <v>114.30008196770451</v>
      </c>
    </row>
    <row r="305" spans="1:5" x14ac:dyDescent="0.3">
      <c r="A305" s="4">
        <v>302</v>
      </c>
      <c r="B305" s="5">
        <v>39558.302048910075</v>
      </c>
      <c r="C305" s="19">
        <v>-50.867584743735975</v>
      </c>
      <c r="D305" s="5">
        <v>85152.771637588259</v>
      </c>
      <c r="E305" s="6">
        <v>115.25891463264767</v>
      </c>
    </row>
    <row r="306" spans="1:5" x14ac:dyDescent="0.3">
      <c r="A306" s="4">
        <v>303</v>
      </c>
      <c r="B306" s="5">
        <v>47784.9323112075</v>
      </c>
      <c r="C306" s="19">
        <v>-40.649901140754281</v>
      </c>
      <c r="D306" s="5">
        <v>97858.107218364181</v>
      </c>
      <c r="E306" s="6">
        <v>104.78862789016131</v>
      </c>
    </row>
    <row r="307" spans="1:5" x14ac:dyDescent="0.3">
      <c r="A307" s="4">
        <v>304</v>
      </c>
      <c r="B307" s="5">
        <v>37902.183534816686</v>
      </c>
      <c r="C307" s="19">
        <v>-52.924525975627525</v>
      </c>
      <c r="D307" s="5">
        <v>64101.948513910829</v>
      </c>
      <c r="E307" s="6">
        <v>69.124685006675719</v>
      </c>
    </row>
    <row r="308" spans="1:5" x14ac:dyDescent="0.3">
      <c r="A308" s="4">
        <v>305</v>
      </c>
      <c r="B308" s="5">
        <v>54440.37014292719</v>
      </c>
      <c r="C308" s="19">
        <v>-32.383678418252195</v>
      </c>
      <c r="D308" s="5">
        <v>95719.163795500674</v>
      </c>
      <c r="E308" s="6">
        <v>75.823866634632651</v>
      </c>
    </row>
    <row r="309" spans="1:5" x14ac:dyDescent="0.3">
      <c r="A309" s="4">
        <v>306</v>
      </c>
      <c r="B309" s="5">
        <v>34376.507454080973</v>
      </c>
      <c r="C309" s="19">
        <v>-57.303505160416812</v>
      </c>
      <c r="D309" s="5">
        <v>78562.766515243537</v>
      </c>
      <c r="E309" s="6">
        <v>128.53620781629763</v>
      </c>
    </row>
    <row r="310" spans="1:5" x14ac:dyDescent="0.3">
      <c r="A310" s="4">
        <v>307</v>
      </c>
      <c r="B310" s="5">
        <v>141009.27961546273</v>
      </c>
      <c r="C310" s="19">
        <v>75.137104532130635</v>
      </c>
      <c r="D310" s="5">
        <v>287819.16792365955</v>
      </c>
      <c r="E310" s="6">
        <v>104.1136361440556</v>
      </c>
    </row>
    <row r="311" spans="1:5" x14ac:dyDescent="0.3">
      <c r="A311" s="4">
        <v>308</v>
      </c>
      <c r="B311" s="5">
        <v>56024.032537484745</v>
      </c>
      <c r="C311" s="19">
        <v>-30.41672952598357</v>
      </c>
      <c r="D311" s="5">
        <v>94087.52306214624</v>
      </c>
      <c r="E311" s="6">
        <v>67.941361591909413</v>
      </c>
    </row>
    <row r="312" spans="1:5" x14ac:dyDescent="0.3">
      <c r="A312" s="4">
        <v>309</v>
      </c>
      <c r="B312" s="5">
        <v>45532.038947620778</v>
      </c>
      <c r="C312" s="19">
        <v>-43.448051883699883</v>
      </c>
      <c r="D312" s="5">
        <v>79224.239951579628</v>
      </c>
      <c r="E312" s="6">
        <v>73.996688447705452</v>
      </c>
    </row>
    <row r="313" spans="1:5" x14ac:dyDescent="0.3">
      <c r="A313" s="4">
        <v>310</v>
      </c>
      <c r="B313" s="5">
        <v>112703.76215503679</v>
      </c>
      <c r="C313" s="19">
        <v>39.980933365087417</v>
      </c>
      <c r="D313" s="5">
        <v>191532.10624546793</v>
      </c>
      <c r="E313" s="6">
        <v>69.942957167653219</v>
      </c>
    </row>
    <row r="314" spans="1:5" x14ac:dyDescent="0.3">
      <c r="A314" s="4">
        <v>311</v>
      </c>
      <c r="B314" s="5">
        <v>51635.727113955843</v>
      </c>
      <c r="C314" s="19">
        <v>-35.867116250711007</v>
      </c>
      <c r="D314" s="5">
        <v>83578.289822720573</v>
      </c>
      <c r="E314" s="6">
        <v>61.861359361261812</v>
      </c>
    </row>
    <row r="315" spans="1:5" x14ac:dyDescent="0.3">
      <c r="A315" s="4">
        <v>312</v>
      </c>
      <c r="B315" s="5">
        <v>42274.361873294147</v>
      </c>
      <c r="C315" s="19">
        <v>-47.494169499889054</v>
      </c>
      <c r="D315" s="5">
        <v>81597.913236792738</v>
      </c>
      <c r="E315" s="6">
        <v>93.019857949270047</v>
      </c>
    </row>
    <row r="316" spans="1:5" x14ac:dyDescent="0.3">
      <c r="A316" s="4">
        <v>313</v>
      </c>
      <c r="B316" s="5">
        <v>56875.857692190119</v>
      </c>
      <c r="C316" s="19">
        <v>-29.358741061894051</v>
      </c>
      <c r="D316" s="5">
        <v>113942.94782586463</v>
      </c>
      <c r="E316" s="6">
        <v>100.33622779373164</v>
      </c>
    </row>
    <row r="317" spans="1:5" x14ac:dyDescent="0.3">
      <c r="A317" s="4">
        <v>314</v>
      </c>
      <c r="B317" s="5">
        <v>42697.350491321864</v>
      </c>
      <c r="C317" s="19">
        <v>-46.968806899545001</v>
      </c>
      <c r="D317" s="5">
        <v>79392.070989988424</v>
      </c>
      <c r="E317" s="6">
        <v>85.941446193774198</v>
      </c>
    </row>
    <row r="318" spans="1:5" x14ac:dyDescent="0.3">
      <c r="A318" s="4">
        <v>315</v>
      </c>
      <c r="B318" s="5">
        <v>66679.03489708103</v>
      </c>
      <c r="C318" s="19">
        <v>-17.182946138595195</v>
      </c>
      <c r="D318" s="5">
        <v>117888.94216306029</v>
      </c>
      <c r="E318" s="6">
        <v>76.800612583882867</v>
      </c>
    </row>
    <row r="319" spans="1:5" x14ac:dyDescent="0.3">
      <c r="A319" s="4">
        <v>316</v>
      </c>
      <c r="B319" s="5">
        <v>152541.81785151741</v>
      </c>
      <c r="C319" s="19">
        <v>89.460809752643073</v>
      </c>
      <c r="D319" s="5">
        <v>309869.55409194482</v>
      </c>
      <c r="E319" s="6">
        <v>103.13744680397645</v>
      </c>
    </row>
    <row r="320" spans="1:5" x14ac:dyDescent="0.3">
      <c r="A320" s="4">
        <v>317</v>
      </c>
      <c r="B320" s="5">
        <v>202496.3040002987</v>
      </c>
      <c r="C320" s="19">
        <v>151.50554954811255</v>
      </c>
      <c r="D320" s="5">
        <v>397242.2261883936</v>
      </c>
      <c r="E320" s="6">
        <v>96.172581099459293</v>
      </c>
    </row>
    <row r="321" spans="1:5" x14ac:dyDescent="0.3">
      <c r="A321" s="4">
        <v>318</v>
      </c>
      <c r="B321" s="5">
        <v>66839.285361838673</v>
      </c>
      <c r="C321" s="19">
        <v>-16.983910993715952</v>
      </c>
      <c r="D321" s="5">
        <v>131104.93425731736</v>
      </c>
      <c r="E321" s="6">
        <v>96.149515285168846</v>
      </c>
    </row>
    <row r="322" spans="1:5" x14ac:dyDescent="0.3">
      <c r="A322" s="4">
        <v>319</v>
      </c>
      <c r="B322" s="5">
        <v>69300.596016522017</v>
      </c>
      <c r="C322" s="19">
        <v>-13.926900684955717</v>
      </c>
      <c r="D322" s="5">
        <v>115772.10171677788</v>
      </c>
      <c r="E322" s="6">
        <v>67.05787305087037</v>
      </c>
    </row>
    <row r="323" spans="1:5" x14ac:dyDescent="0.3">
      <c r="A323" s="4">
        <v>320</v>
      </c>
      <c r="B323" s="5">
        <v>50558.203838633191</v>
      </c>
      <c r="C323" s="19">
        <v>-37.205427509520483</v>
      </c>
      <c r="D323" s="5">
        <v>84606.417742888865</v>
      </c>
      <c r="E323" s="6">
        <v>67.344587661633483</v>
      </c>
    </row>
    <row r="324" spans="1:5" x14ac:dyDescent="0.3">
      <c r="A324" s="4">
        <v>321</v>
      </c>
      <c r="B324" s="5">
        <v>166845.97220349402</v>
      </c>
      <c r="C324" s="19">
        <v>107.22693254128221</v>
      </c>
      <c r="D324" s="5">
        <v>321780.30079277972</v>
      </c>
      <c r="E324" s="6">
        <v>92.860694533470507</v>
      </c>
    </row>
    <row r="325" spans="1:5" x14ac:dyDescent="0.3">
      <c r="A325" s="4">
        <v>322</v>
      </c>
      <c r="B325" s="5">
        <v>48120.779686584166</v>
      </c>
      <c r="C325" s="19">
        <v>-40.232770175695904</v>
      </c>
      <c r="D325" s="5">
        <v>87785.695046896042</v>
      </c>
      <c r="E325" s="6">
        <v>82.427831840327087</v>
      </c>
    </row>
    <row r="326" spans="1:5" x14ac:dyDescent="0.3">
      <c r="A326" s="4">
        <v>323</v>
      </c>
      <c r="B326" s="5">
        <v>87075.61980245178</v>
      </c>
      <c r="C326" s="19">
        <v>8.1501300420072926</v>
      </c>
      <c r="D326" s="5">
        <v>144583.40858863411</v>
      </c>
      <c r="E326" s="6">
        <v>66.043502092376812</v>
      </c>
    </row>
    <row r="327" spans="1:5" x14ac:dyDescent="0.3">
      <c r="A327" s="4">
        <v>324</v>
      </c>
      <c r="B327" s="5">
        <v>68498.970075433172</v>
      </c>
      <c r="C327" s="19">
        <v>-14.92254045152289</v>
      </c>
      <c r="D327" s="5">
        <v>128855.05576955828</v>
      </c>
      <c r="E327" s="6">
        <v>88.112398810754584</v>
      </c>
    </row>
    <row r="328" spans="1:5" x14ac:dyDescent="0.3">
      <c r="A328" s="4">
        <v>325</v>
      </c>
      <c r="B328" s="5">
        <v>55418.64153530234</v>
      </c>
      <c r="C328" s="19">
        <v>-31.168640517381935</v>
      </c>
      <c r="D328" s="5">
        <v>108765.03095499777</v>
      </c>
      <c r="E328" s="6">
        <v>96.26073094143446</v>
      </c>
    </row>
    <row r="329" spans="1:5" x14ac:dyDescent="0.3">
      <c r="A329" s="4">
        <v>326</v>
      </c>
      <c r="B329" s="5">
        <v>62524.471243927015</v>
      </c>
      <c r="C329" s="19">
        <v>-22.343019651431131</v>
      </c>
      <c r="D329" s="5">
        <v>110924.60447222284</v>
      </c>
      <c r="E329" s="6">
        <v>77.409904098944168</v>
      </c>
    </row>
    <row r="330" spans="1:5" x14ac:dyDescent="0.3">
      <c r="A330" s="4">
        <v>327</v>
      </c>
      <c r="B330" s="5">
        <v>81944.760920638801</v>
      </c>
      <c r="C330" s="19">
        <v>1.7774730737977202</v>
      </c>
      <c r="D330" s="5">
        <v>140275.01464131442</v>
      </c>
      <c r="E330" s="6">
        <v>71.182407594265655</v>
      </c>
    </row>
    <row r="331" spans="1:5" x14ac:dyDescent="0.3">
      <c r="A331" s="4">
        <v>328</v>
      </c>
      <c r="B331" s="5">
        <v>24681.855141052372</v>
      </c>
      <c r="C331" s="19">
        <v>-69.344509413326733</v>
      </c>
      <c r="D331" s="5">
        <v>54461.779972595476</v>
      </c>
      <c r="E331" s="6">
        <v>120.65513172067568</v>
      </c>
    </row>
    <row r="332" spans="1:5" x14ac:dyDescent="0.3">
      <c r="A332" s="4">
        <v>329</v>
      </c>
      <c r="B332" s="5">
        <v>24887.140870248651</v>
      </c>
      <c r="C332" s="19">
        <v>-69.089539326881024</v>
      </c>
      <c r="D332" s="5">
        <v>53195.123409536594</v>
      </c>
      <c r="E332" s="6">
        <v>113.74541851502411</v>
      </c>
    </row>
    <row r="333" spans="1:5" x14ac:dyDescent="0.3">
      <c r="A333" s="4">
        <v>330</v>
      </c>
      <c r="B333" s="5">
        <v>26443.270719743501</v>
      </c>
      <c r="C333" s="19">
        <v>-67.156786554441055</v>
      </c>
      <c r="D333" s="5">
        <v>47681.728221524827</v>
      </c>
      <c r="E333" s="6">
        <v>80.317059590982922</v>
      </c>
    </row>
    <row r="334" spans="1:5" x14ac:dyDescent="0.3">
      <c r="A334" s="4">
        <v>331</v>
      </c>
      <c r="B334" s="5">
        <v>51878.637562716147</v>
      </c>
      <c r="C334" s="19">
        <v>-35.565415307535531</v>
      </c>
      <c r="D334" s="5">
        <v>85802.146970089947</v>
      </c>
      <c r="E334" s="6">
        <v>65.390131663275909</v>
      </c>
    </row>
    <row r="335" spans="1:5" x14ac:dyDescent="0.3">
      <c r="A335" s="4">
        <v>332</v>
      </c>
      <c r="B335" s="5">
        <v>31121.582195570671</v>
      </c>
      <c r="C335" s="19">
        <v>-61.34620495151254</v>
      </c>
      <c r="D335" s="5">
        <v>70752.850897804645</v>
      </c>
      <c r="E335" s="6">
        <v>127.34336080083497</v>
      </c>
    </row>
    <row r="336" spans="1:5" x14ac:dyDescent="0.3">
      <c r="A336" s="4">
        <v>333</v>
      </c>
      <c r="B336" s="5">
        <v>92358.029529784486</v>
      </c>
      <c r="C336" s="19">
        <v>14.711017007179498</v>
      </c>
      <c r="D336" s="5">
        <v>159140.02530262619</v>
      </c>
      <c r="E336" s="6">
        <v>72.307731242041299</v>
      </c>
    </row>
    <row r="337" spans="1:5" x14ac:dyDescent="0.3">
      <c r="A337" s="4">
        <v>334</v>
      </c>
      <c r="B337" s="5">
        <v>68532.848409293132</v>
      </c>
      <c r="C337" s="19">
        <v>-14.880462700932384</v>
      </c>
      <c r="D337" s="5">
        <v>138967.95377941482</v>
      </c>
      <c r="E337" s="6">
        <v>102.77568641167205</v>
      </c>
    </row>
    <row r="338" spans="1:5" x14ac:dyDescent="0.3">
      <c r="A338" s="4">
        <v>335</v>
      </c>
      <c r="B338" s="5">
        <v>50974.092589415886</v>
      </c>
      <c r="C338" s="19">
        <v>-36.688883124511236</v>
      </c>
      <c r="D338" s="5">
        <v>99219.332501858516</v>
      </c>
      <c r="E338" s="6">
        <v>94.646589005608178</v>
      </c>
    </row>
    <row r="339" spans="1:5" x14ac:dyDescent="0.3">
      <c r="A339" s="4">
        <v>336</v>
      </c>
      <c r="B339" s="5">
        <v>61110.145150809447</v>
      </c>
      <c r="C339" s="19">
        <v>-24.099648559034524</v>
      </c>
      <c r="D339" s="5">
        <v>120074.70803939688</v>
      </c>
      <c r="E339" s="6">
        <v>96.488991710088271</v>
      </c>
    </row>
    <row r="340" spans="1:5" x14ac:dyDescent="0.3">
      <c r="A340" s="4">
        <v>337</v>
      </c>
      <c r="B340" s="5">
        <v>56604.820432911874</v>
      </c>
      <c r="C340" s="19">
        <v>-29.695376217677875</v>
      </c>
      <c r="D340" s="5">
        <v>95954.270609918109</v>
      </c>
      <c r="E340" s="6">
        <v>69.516076327180059</v>
      </c>
    </row>
    <row r="341" spans="1:5" x14ac:dyDescent="0.3">
      <c r="A341" s="4">
        <v>338</v>
      </c>
      <c r="B341" s="5">
        <v>55616.70477811747</v>
      </c>
      <c r="C341" s="19">
        <v>-30.922640942350544</v>
      </c>
      <c r="D341" s="5">
        <v>100230.16286640661</v>
      </c>
      <c r="E341" s="6">
        <v>80.215932005095013</v>
      </c>
    </row>
    <row r="342" spans="1:5" x14ac:dyDescent="0.3">
      <c r="A342" s="4">
        <v>339</v>
      </c>
      <c r="B342" s="5">
        <v>66538.242116557318</v>
      </c>
      <c r="C342" s="19">
        <v>-17.357814345759959</v>
      </c>
      <c r="D342" s="5">
        <v>112162.24917068808</v>
      </c>
      <c r="E342" s="6">
        <v>68.568097988236048</v>
      </c>
    </row>
    <row r="343" spans="1:5" x14ac:dyDescent="0.3">
      <c r="A343" s="4">
        <v>340</v>
      </c>
      <c r="B343" s="5">
        <v>70913.949139847347</v>
      </c>
      <c r="C343" s="19">
        <v>-11.923075153915393</v>
      </c>
      <c r="D343" s="5">
        <v>128318.40170998407</v>
      </c>
      <c r="E343" s="6">
        <v>80.949451083215038</v>
      </c>
    </row>
    <row r="344" spans="1:5" x14ac:dyDescent="0.3">
      <c r="A344" s="4">
        <v>341</v>
      </c>
      <c r="B344" s="5">
        <v>77736.416692060346</v>
      </c>
      <c r="C344" s="19">
        <v>-3.4493972788319791</v>
      </c>
      <c r="D344" s="5">
        <v>149728.02690019194</v>
      </c>
      <c r="E344" s="6">
        <v>92.609890282586818</v>
      </c>
    </row>
    <row r="345" spans="1:5" x14ac:dyDescent="0.3">
      <c r="A345" s="4">
        <v>342</v>
      </c>
      <c r="B345" s="5">
        <v>39972.562286707587</v>
      </c>
      <c r="C345" s="19">
        <v>-50.35306301319099</v>
      </c>
      <c r="D345" s="5">
        <v>75430.741134906784</v>
      </c>
      <c r="E345" s="6">
        <v>88.70629456743734</v>
      </c>
    </row>
    <row r="346" spans="1:5" x14ac:dyDescent="0.3">
      <c r="A346" s="4">
        <v>343</v>
      </c>
      <c r="B346" s="5">
        <v>82991.971379992508</v>
      </c>
      <c r="C346" s="19">
        <v>3.0781350457411549</v>
      </c>
      <c r="D346" s="5">
        <v>133371.56753708588</v>
      </c>
      <c r="E346" s="6">
        <v>60.704180560336418</v>
      </c>
    </row>
    <row r="347" spans="1:5" x14ac:dyDescent="0.3">
      <c r="A347" s="4">
        <v>344</v>
      </c>
      <c r="B347" s="5">
        <v>52614.187017287615</v>
      </c>
      <c r="C347" s="19">
        <v>-34.651844214447635</v>
      </c>
      <c r="D347" s="5">
        <v>92854.151453070474</v>
      </c>
      <c r="E347" s="6">
        <v>76.481205387742818</v>
      </c>
    </row>
    <row r="348" spans="1:5" x14ac:dyDescent="0.3">
      <c r="A348" s="4">
        <v>345</v>
      </c>
      <c r="B348" s="5">
        <v>41814.931540784251</v>
      </c>
      <c r="C348" s="19">
        <v>-48.064793634622909</v>
      </c>
      <c r="D348" s="5">
        <v>87204.596621447534</v>
      </c>
      <c r="E348" s="6">
        <v>108.54894031428081</v>
      </c>
    </row>
    <row r="349" spans="1:5" x14ac:dyDescent="0.3">
      <c r="A349" s="4">
        <v>346</v>
      </c>
      <c r="B349" s="5">
        <v>45273.644713017653</v>
      </c>
      <c r="C349" s="19">
        <v>-43.768984081918312</v>
      </c>
      <c r="D349" s="5">
        <v>81758.881871878737</v>
      </c>
      <c r="E349" s="6">
        <v>80.588248174263697</v>
      </c>
    </row>
    <row r="350" spans="1:5" x14ac:dyDescent="0.3">
      <c r="A350" s="4">
        <v>347</v>
      </c>
      <c r="B350" s="5">
        <v>38431.977164520409</v>
      </c>
      <c r="C350" s="19">
        <v>-52.266508839741789</v>
      </c>
      <c r="D350" s="5">
        <v>68240.439324330015</v>
      </c>
      <c r="E350" s="6">
        <v>77.561614985887715</v>
      </c>
    </row>
    <row r="351" spans="1:5" x14ac:dyDescent="0.3">
      <c r="A351" s="4">
        <v>348</v>
      </c>
      <c r="B351" s="5">
        <v>97488.485316378268</v>
      </c>
      <c r="C351" s="19">
        <v>21.083173320895028</v>
      </c>
      <c r="D351" s="5">
        <v>195947.29193152126</v>
      </c>
      <c r="E351" s="6">
        <v>100.99531887854833</v>
      </c>
    </row>
    <row r="352" spans="1:5" x14ac:dyDescent="0.3">
      <c r="A352" s="4">
        <v>349</v>
      </c>
      <c r="B352" s="5">
        <v>95419.41861748902</v>
      </c>
      <c r="C352" s="19">
        <v>18.513339961590496</v>
      </c>
      <c r="D352" s="5">
        <v>177713.67895795975</v>
      </c>
      <c r="E352" s="6">
        <v>86.244772324977632</v>
      </c>
    </row>
    <row r="353" spans="1:5" x14ac:dyDescent="0.3">
      <c r="A353" s="4">
        <v>350</v>
      </c>
      <c r="B353" s="5">
        <v>118137.91391193967</v>
      </c>
      <c r="C353" s="19">
        <v>46.730287782665748</v>
      </c>
      <c r="D353" s="5">
        <v>186803.35590017657</v>
      </c>
      <c r="E353" s="6">
        <v>58.123120439912547</v>
      </c>
    </row>
    <row r="354" spans="1:5" x14ac:dyDescent="0.3">
      <c r="A354" s="4">
        <v>351</v>
      </c>
      <c r="B354" s="5">
        <v>74942.458609135603</v>
      </c>
      <c r="C354" s="19">
        <v>-6.9195641370840777</v>
      </c>
      <c r="D354" s="5">
        <v>143333.55028834092</v>
      </c>
      <c r="E354" s="6">
        <v>91.258137174149681</v>
      </c>
    </row>
    <row r="355" spans="1:5" x14ac:dyDescent="0.3">
      <c r="A355" s="4">
        <v>352</v>
      </c>
      <c r="B355" s="5">
        <v>31904.399616834129</v>
      </c>
      <c r="C355" s="19">
        <v>-60.373925843986655</v>
      </c>
      <c r="D355" s="5">
        <v>60620.563326211181</v>
      </c>
      <c r="E355" s="6">
        <v>90.006908308110496</v>
      </c>
    </row>
    <row r="356" spans="1:5" x14ac:dyDescent="0.3">
      <c r="A356" s="4">
        <v>353</v>
      </c>
      <c r="B356" s="5">
        <v>99194.570681289057</v>
      </c>
      <c r="C356" s="19">
        <v>23.202174649814332</v>
      </c>
      <c r="D356" s="5">
        <v>178619.26877402421</v>
      </c>
      <c r="E356" s="6">
        <v>80.069602143776336</v>
      </c>
    </row>
    <row r="357" spans="1:5" x14ac:dyDescent="0.3">
      <c r="A357" s="4">
        <v>354</v>
      </c>
      <c r="B357" s="5">
        <v>51550.996304040404</v>
      </c>
      <c r="C357" s="19">
        <v>-35.97235406735485</v>
      </c>
      <c r="D357" s="5">
        <v>88377.780163392104</v>
      </c>
      <c r="E357" s="6">
        <v>71.437579289743695</v>
      </c>
    </row>
    <row r="358" spans="1:5" x14ac:dyDescent="0.3">
      <c r="A358" s="4">
        <v>355</v>
      </c>
      <c r="B358" s="5">
        <v>69693.101610586455</v>
      </c>
      <c r="C358" s="19">
        <v>-13.439398774127067</v>
      </c>
      <c r="D358" s="5">
        <v>145584.20268712094</v>
      </c>
      <c r="E358" s="6">
        <v>108.89327540705484</v>
      </c>
    </row>
    <row r="359" spans="1:5" x14ac:dyDescent="0.3">
      <c r="A359" s="4">
        <v>356</v>
      </c>
      <c r="B359" s="5">
        <v>63725.672835322534</v>
      </c>
      <c r="C359" s="19">
        <v>-20.85109678472265</v>
      </c>
      <c r="D359" s="5">
        <v>109363.48833282418</v>
      </c>
      <c r="E359" s="6">
        <v>71.616059065295659</v>
      </c>
    </row>
    <row r="360" spans="1:5" x14ac:dyDescent="0.3">
      <c r="A360" s="4">
        <v>357</v>
      </c>
      <c r="B360" s="5">
        <v>56556.538002419293</v>
      </c>
      <c r="C360" s="19">
        <v>-29.755344221906419</v>
      </c>
      <c r="D360" s="5">
        <v>109473.33906441959</v>
      </c>
      <c r="E360" s="6">
        <v>93.564427617080625</v>
      </c>
    </row>
    <row r="361" spans="1:5" x14ac:dyDescent="0.3">
      <c r="A361" s="4">
        <v>358</v>
      </c>
      <c r="B361" s="5">
        <v>88148.313336059364</v>
      </c>
      <c r="C361" s="19">
        <v>9.4824426390129357</v>
      </c>
      <c r="D361" s="5">
        <v>159576.84197618341</v>
      </c>
      <c r="E361" s="6">
        <v>81.032212570883473</v>
      </c>
    </row>
    <row r="362" spans="1:5" x14ac:dyDescent="0.3">
      <c r="A362" s="4">
        <v>359</v>
      </c>
      <c r="B362" s="5">
        <v>78353.934151781359</v>
      </c>
      <c r="C362" s="19">
        <v>-2.6824249193638336</v>
      </c>
      <c r="D362" s="5">
        <v>136874.35692761571</v>
      </c>
      <c r="E362" s="6">
        <v>74.687280746456182</v>
      </c>
    </row>
    <row r="363" spans="1:5" x14ac:dyDescent="0.3">
      <c r="A363" s="4">
        <v>360</v>
      </c>
      <c r="B363" s="5">
        <v>94703.705746070569</v>
      </c>
      <c r="C363" s="19">
        <v>17.624406408292213</v>
      </c>
      <c r="D363" s="5">
        <v>152205.3954676651</v>
      </c>
      <c r="E363" s="6">
        <v>60.717465350061431</v>
      </c>
    </row>
    <row r="364" spans="1:5" x14ac:dyDescent="0.3">
      <c r="A364" s="4">
        <v>361</v>
      </c>
      <c r="B364" s="5">
        <v>20581.559146695567</v>
      </c>
      <c r="C364" s="19">
        <v>-74.437181116456259</v>
      </c>
      <c r="D364" s="5">
        <v>49645.478268598046</v>
      </c>
      <c r="E364" s="6">
        <v>141.2133984347283</v>
      </c>
    </row>
    <row r="365" spans="1:5" x14ac:dyDescent="0.3">
      <c r="A365" s="4">
        <v>362</v>
      </c>
      <c r="B365" s="5">
        <v>109844.15561731996</v>
      </c>
      <c r="C365" s="19">
        <v>36.42922945962362</v>
      </c>
      <c r="D365" s="5">
        <v>186202.64637238983</v>
      </c>
      <c r="E365" s="6">
        <v>69.51529676379964</v>
      </c>
    </row>
    <row r="366" spans="1:5" x14ac:dyDescent="0.3">
      <c r="A366" s="4">
        <v>363</v>
      </c>
      <c r="B366" s="5">
        <v>82165.081053166723</v>
      </c>
      <c r="C366" s="19">
        <v>2.0511162708007942</v>
      </c>
      <c r="D366" s="5">
        <v>148323.59607119317</v>
      </c>
      <c r="E366" s="6">
        <v>80.519016314506061</v>
      </c>
    </row>
    <row r="367" spans="1:5" x14ac:dyDescent="0.3">
      <c r="A367" s="4">
        <v>364</v>
      </c>
      <c r="B367" s="5">
        <v>34847.914136729254</v>
      </c>
      <c r="C367" s="19">
        <v>-56.718006094814434</v>
      </c>
      <c r="D367" s="5">
        <v>73910.373218893175</v>
      </c>
      <c r="E367" s="6">
        <v>112.09410964713263</v>
      </c>
    </row>
    <row r="368" spans="1:5" x14ac:dyDescent="0.3">
      <c r="A368" s="4">
        <v>365</v>
      </c>
      <c r="B368" s="5">
        <v>88972.500820629924</v>
      </c>
      <c r="C368" s="19">
        <v>10.506104415265849</v>
      </c>
      <c r="D368" s="5">
        <v>142269.49178631877</v>
      </c>
      <c r="E368" s="6">
        <v>59.902768241994785</v>
      </c>
    </row>
    <row r="369" spans="1:5" x14ac:dyDescent="0.3">
      <c r="A369" s="4">
        <v>366</v>
      </c>
      <c r="B369" s="5">
        <v>89177.249719120286</v>
      </c>
      <c r="C369" s="19">
        <v>10.760407744348404</v>
      </c>
      <c r="D369" s="5">
        <v>148143.60610864515</v>
      </c>
      <c r="E369" s="6">
        <v>66.122645153612567</v>
      </c>
    </row>
    <row r="370" spans="1:5" x14ac:dyDescent="0.3">
      <c r="A370" s="4">
        <v>367</v>
      </c>
      <c r="B370" s="5">
        <v>42644.037044659432</v>
      </c>
      <c r="C370" s="19">
        <v>-47.035023553559185</v>
      </c>
      <c r="D370" s="5">
        <v>80344.316238364685</v>
      </c>
      <c r="E370" s="6">
        <v>88.406918777936582</v>
      </c>
    </row>
    <row r="371" spans="1:5" x14ac:dyDescent="0.3">
      <c r="A371" s="4">
        <v>368</v>
      </c>
      <c r="B371" s="5">
        <v>55481.64013460643</v>
      </c>
      <c r="C371" s="19">
        <v>-31.090394657947812</v>
      </c>
      <c r="D371" s="5">
        <v>91530.747059113142</v>
      </c>
      <c r="E371" s="6">
        <v>64.974840031849084</v>
      </c>
    </row>
    <row r="372" spans="1:5" x14ac:dyDescent="0.3">
      <c r="A372" s="4">
        <v>369</v>
      </c>
      <c r="B372" s="5">
        <v>80614.107998905281</v>
      </c>
      <c r="C372" s="19">
        <v>0.12476836893606193</v>
      </c>
      <c r="D372" s="5">
        <v>162655.73256526783</v>
      </c>
      <c r="E372" s="6">
        <v>101.77080241026377</v>
      </c>
    </row>
    <row r="373" spans="1:5" x14ac:dyDescent="0.3">
      <c r="A373" s="4">
        <v>370</v>
      </c>
      <c r="B373" s="5">
        <v>48936.404674900456</v>
      </c>
      <c r="C373" s="19">
        <v>-39.219743237133315</v>
      </c>
      <c r="D373" s="5">
        <v>93033.55306057795</v>
      </c>
      <c r="E373" s="6">
        <v>90.111132353568621</v>
      </c>
    </row>
    <row r="374" spans="1:5" x14ac:dyDescent="0.3">
      <c r="A374" s="4">
        <v>371</v>
      </c>
      <c r="B374" s="5">
        <v>54064.350224490998</v>
      </c>
      <c r="C374" s="19">
        <v>-32.850704701493356</v>
      </c>
      <c r="D374" s="5">
        <v>109828.61971502764</v>
      </c>
      <c r="E374" s="6">
        <v>103.14425172777825</v>
      </c>
    </row>
    <row r="375" spans="1:5" x14ac:dyDescent="0.3">
      <c r="A375" s="4">
        <v>372</v>
      </c>
      <c r="B375" s="5">
        <v>68518.614975882578</v>
      </c>
      <c r="C375" s="19">
        <v>-14.898140986516662</v>
      </c>
      <c r="D375" s="5">
        <v>142712.0751699571</v>
      </c>
      <c r="E375" s="6">
        <v>108.28219487534795</v>
      </c>
    </row>
    <row r="376" spans="1:5" x14ac:dyDescent="0.3">
      <c r="A376" s="4">
        <v>373</v>
      </c>
      <c r="B376" s="5">
        <v>62667.569016363173</v>
      </c>
      <c r="C376" s="19">
        <v>-22.165288585803317</v>
      </c>
      <c r="D376" s="5">
        <v>122349.6495236116</v>
      </c>
      <c r="E376" s="6">
        <v>95.235991189740901</v>
      </c>
    </row>
    <row r="377" spans="1:5" x14ac:dyDescent="0.3">
      <c r="A377" s="4">
        <v>374</v>
      </c>
      <c r="B377" s="5">
        <v>47921.829178919441</v>
      </c>
      <c r="C377" s="19">
        <v>-40.479871756192004</v>
      </c>
      <c r="D377" s="5">
        <v>90868.955451147645</v>
      </c>
      <c r="E377" s="6">
        <v>89.619129753754095</v>
      </c>
    </row>
    <row r="378" spans="1:5" x14ac:dyDescent="0.3">
      <c r="A378" s="4">
        <v>375</v>
      </c>
      <c r="B378" s="5">
        <v>51031.499460706931</v>
      </c>
      <c r="C378" s="19">
        <v>-36.617582333204595</v>
      </c>
      <c r="D378" s="5">
        <v>97466.354567811868</v>
      </c>
      <c r="E378" s="6">
        <v>90.992535194578579</v>
      </c>
    </row>
    <row r="379" spans="1:5" x14ac:dyDescent="0.3">
      <c r="A379" s="4">
        <v>376</v>
      </c>
      <c r="B379" s="5">
        <v>30281.645116146214</v>
      </c>
      <c r="C379" s="19">
        <v>-62.389428124347205</v>
      </c>
      <c r="D379" s="5">
        <v>66222.840899617891</v>
      </c>
      <c r="E379" s="6">
        <v>118.68970673692949</v>
      </c>
    </row>
    <row r="380" spans="1:5" x14ac:dyDescent="0.3">
      <c r="A380" s="4">
        <v>377</v>
      </c>
      <c r="B380" s="5">
        <v>89361.079329599612</v>
      </c>
      <c r="C380" s="19">
        <v>10.988728786725305</v>
      </c>
      <c r="D380" s="5">
        <v>184325.57603304097</v>
      </c>
      <c r="E380" s="6">
        <v>106.27053457263433</v>
      </c>
    </row>
    <row r="381" spans="1:5" x14ac:dyDescent="0.3">
      <c r="A381" s="4">
        <v>378</v>
      </c>
      <c r="B381" s="5">
        <v>73373.175402560344</v>
      </c>
      <c r="C381" s="19">
        <v>-8.8686537128906195</v>
      </c>
      <c r="D381" s="5">
        <v>148089.37338494143</v>
      </c>
      <c r="E381" s="6">
        <v>101.83039996899721</v>
      </c>
    </row>
    <row r="382" spans="1:5" x14ac:dyDescent="0.3">
      <c r="A382" s="4">
        <v>379</v>
      </c>
      <c r="B382" s="5">
        <v>25553.216539125089</v>
      </c>
      <c r="C382" s="19">
        <v>-68.262256439084965</v>
      </c>
      <c r="D382" s="5">
        <v>45572.99145510573</v>
      </c>
      <c r="E382" s="6">
        <v>78.345420371356866</v>
      </c>
    </row>
    <row r="383" spans="1:5" x14ac:dyDescent="0.3">
      <c r="A383" s="4">
        <v>380</v>
      </c>
      <c r="B383" s="5">
        <v>74636.307342774453</v>
      </c>
      <c r="C383" s="19">
        <v>-7.299811780966496</v>
      </c>
      <c r="D383" s="5">
        <v>123966.40892980907</v>
      </c>
      <c r="E383" s="6">
        <v>66.093974023234239</v>
      </c>
    </row>
    <row r="384" spans="1:5" x14ac:dyDescent="0.3">
      <c r="A384" s="4">
        <v>381</v>
      </c>
      <c r="B384" s="5">
        <v>163608.22586211923</v>
      </c>
      <c r="C384" s="19">
        <v>103.20556940132259</v>
      </c>
      <c r="D384" s="5">
        <v>263908.61335917446</v>
      </c>
      <c r="E384" s="6">
        <v>61.305222869162669</v>
      </c>
    </row>
    <row r="385" spans="1:5" x14ac:dyDescent="0.3">
      <c r="A385" s="4">
        <v>382</v>
      </c>
      <c r="B385" s="5">
        <v>95362.4203814918</v>
      </c>
      <c r="C385" s="19">
        <v>18.442546705691207</v>
      </c>
      <c r="D385" s="5">
        <v>178797.73963931651</v>
      </c>
      <c r="E385" s="6">
        <v>87.492870801775567</v>
      </c>
    </row>
    <row r="386" spans="1:5" x14ac:dyDescent="0.3">
      <c r="A386" s="4">
        <v>383</v>
      </c>
      <c r="B386" s="5">
        <v>79586.220289661185</v>
      </c>
      <c r="C386" s="19">
        <v>-1.1518942569003365</v>
      </c>
      <c r="D386" s="5">
        <v>118581.67179843319</v>
      </c>
      <c r="E386" s="6">
        <v>48.997742783668535</v>
      </c>
    </row>
    <row r="387" spans="1:5" x14ac:dyDescent="0.3">
      <c r="A387" s="4">
        <v>384</v>
      </c>
      <c r="B387" s="5">
        <v>62651.251240321784</v>
      </c>
      <c r="C387" s="19">
        <v>-22.185555677842125</v>
      </c>
      <c r="D387" s="5">
        <v>102562.54819460594</v>
      </c>
      <c r="E387" s="6">
        <v>63.70391039947436</v>
      </c>
    </row>
    <row r="388" spans="1:5" x14ac:dyDescent="0.3">
      <c r="A388" s="4">
        <v>385</v>
      </c>
      <c r="B388" s="5">
        <v>52443.293765054856</v>
      </c>
      <c r="C388" s="19">
        <v>-34.864097971517694</v>
      </c>
      <c r="D388" s="5">
        <v>90867.083216394109</v>
      </c>
      <c r="E388" s="6">
        <v>73.267307777191178</v>
      </c>
    </row>
    <row r="389" spans="1:5" x14ac:dyDescent="0.3">
      <c r="A389" s="4">
        <v>386</v>
      </c>
      <c r="B389" s="5">
        <v>85893.88360759808</v>
      </c>
      <c r="C389" s="19">
        <v>6.682383691895458</v>
      </c>
      <c r="D389" s="5">
        <v>135540.58565173019</v>
      </c>
      <c r="E389" s="6">
        <v>57.800043447727411</v>
      </c>
    </row>
    <row r="390" spans="1:5" x14ac:dyDescent="0.3">
      <c r="A390" s="4">
        <v>387</v>
      </c>
      <c r="B390" s="5">
        <v>70426.292799931485</v>
      </c>
      <c r="C390" s="19">
        <v>-12.528756706310439</v>
      </c>
      <c r="D390" s="5">
        <v>133094.29392154125</v>
      </c>
      <c r="E390" s="6">
        <v>88.983813615801637</v>
      </c>
    </row>
    <row r="391" spans="1:5" x14ac:dyDescent="0.3">
      <c r="A391" s="4">
        <v>388</v>
      </c>
      <c r="B391" s="5">
        <v>70043.45026148473</v>
      </c>
      <c r="C391" s="19">
        <v>-13.004256856783822</v>
      </c>
      <c r="D391" s="5">
        <v>131240.09284145787</v>
      </c>
      <c r="E391" s="6">
        <v>87.369543264238303</v>
      </c>
    </row>
    <row r="392" spans="1:5" x14ac:dyDescent="0.3">
      <c r="A392" s="4">
        <v>389</v>
      </c>
      <c r="B392" s="5">
        <v>40978.16800857459</v>
      </c>
      <c r="C392" s="19">
        <v>-49.104075181262395</v>
      </c>
      <c r="D392" s="5">
        <v>79983.586808487555</v>
      </c>
      <c r="E392" s="6">
        <v>95.185853090726667</v>
      </c>
    </row>
    <row r="393" spans="1:5" x14ac:dyDescent="0.3">
      <c r="A393" s="4">
        <v>390</v>
      </c>
      <c r="B393" s="5">
        <v>122410.46235176548</v>
      </c>
      <c r="C393" s="19">
        <v>52.036901395365255</v>
      </c>
      <c r="D393" s="5">
        <v>223338.69627508702</v>
      </c>
      <c r="E393" s="6">
        <v>82.45065984089544</v>
      </c>
    </row>
    <row r="394" spans="1:5" x14ac:dyDescent="0.3">
      <c r="A394" s="4">
        <v>391</v>
      </c>
      <c r="B394" s="5">
        <v>23386.88409569276</v>
      </c>
      <c r="C394" s="19">
        <v>-70.952896322016116</v>
      </c>
      <c r="D394" s="5">
        <v>56499.860229252794</v>
      </c>
      <c r="E394" s="6">
        <v>141.58780621681262</v>
      </c>
    </row>
    <row r="395" spans="1:5" x14ac:dyDescent="0.3">
      <c r="A395" s="4">
        <v>392</v>
      </c>
      <c r="B395" s="5">
        <v>88386.318024140201</v>
      </c>
      <c r="C395" s="19">
        <v>9.7780505029012055</v>
      </c>
      <c r="D395" s="5">
        <v>158536.25440127667</v>
      </c>
      <c r="E395" s="6">
        <v>79.367415619663007</v>
      </c>
    </row>
    <row r="396" spans="1:5" x14ac:dyDescent="0.3">
      <c r="A396" s="4">
        <v>393</v>
      </c>
      <c r="B396" s="5">
        <v>48486.12799501788</v>
      </c>
      <c r="C396" s="19">
        <v>-39.778998302956147</v>
      </c>
      <c r="D396" s="5">
        <v>110152.16828852019</v>
      </c>
      <c r="E396" s="6">
        <v>127.18285176295932</v>
      </c>
    </row>
    <row r="397" spans="1:5" x14ac:dyDescent="0.3">
      <c r="A397" s="4">
        <v>394</v>
      </c>
      <c r="B397" s="5">
        <v>55110.099859453636</v>
      </c>
      <c r="C397" s="19">
        <v>-31.551857110523844</v>
      </c>
      <c r="D397" s="5">
        <v>91758.547816383347</v>
      </c>
      <c r="E397" s="6">
        <v>66.500420159632498</v>
      </c>
    </row>
    <row r="398" spans="1:5" x14ac:dyDescent="0.3">
      <c r="A398" s="4">
        <v>395</v>
      </c>
      <c r="B398" s="5">
        <v>49318.892471095358</v>
      </c>
      <c r="C398" s="19">
        <v>-38.74468368554119</v>
      </c>
      <c r="D398" s="5">
        <v>103393.17492937135</v>
      </c>
      <c r="E398" s="6">
        <v>109.64212647307046</v>
      </c>
    </row>
    <row r="399" spans="1:5" x14ac:dyDescent="0.3">
      <c r="A399" s="4">
        <v>396</v>
      </c>
      <c r="B399" s="5">
        <v>137506.61185404347</v>
      </c>
      <c r="C399" s="19">
        <v>70.786702263954382</v>
      </c>
      <c r="D399" s="5">
        <v>236291.45849515891</v>
      </c>
      <c r="E399" s="6">
        <v>71.840070313106636</v>
      </c>
    </row>
    <row r="400" spans="1:5" x14ac:dyDescent="0.3">
      <c r="A400" s="4">
        <v>397</v>
      </c>
      <c r="B400" s="5">
        <v>89827.691998097565</v>
      </c>
      <c r="C400" s="19">
        <v>11.56827356506613</v>
      </c>
      <c r="D400" s="5">
        <v>186729.83088592952</v>
      </c>
      <c r="E400" s="6">
        <v>107.87557459439591</v>
      </c>
    </row>
    <row r="401" spans="1:5" x14ac:dyDescent="0.3">
      <c r="A401" s="4">
        <v>398</v>
      </c>
      <c r="B401" s="5">
        <v>76190.407419916781</v>
      </c>
      <c r="C401" s="19">
        <v>-5.3695800373102331</v>
      </c>
      <c r="D401" s="5">
        <v>163394.46848057536</v>
      </c>
      <c r="E401" s="6">
        <v>114.45543345114433</v>
      </c>
    </row>
    <row r="402" spans="1:5" x14ac:dyDescent="0.3">
      <c r="A402" s="4">
        <v>399</v>
      </c>
      <c r="B402" s="5">
        <v>45124.947243726587</v>
      </c>
      <c r="C402" s="19">
        <v>-43.953670113177466</v>
      </c>
      <c r="D402" s="5">
        <v>97781.918920738317</v>
      </c>
      <c r="E402" s="6">
        <v>116.69148640241849</v>
      </c>
    </row>
    <row r="403" spans="1:5" x14ac:dyDescent="0.3">
      <c r="A403" s="4">
        <v>400</v>
      </c>
      <c r="B403" s="5">
        <v>72653.179760581814</v>
      </c>
      <c r="C403" s="19">
        <v>-9.7629065759344265</v>
      </c>
      <c r="D403" s="5">
        <v>128459.05538954561</v>
      </c>
      <c r="E403" s="6">
        <v>76.811332708167896</v>
      </c>
    </row>
    <row r="404" spans="1:5" x14ac:dyDescent="0.3">
      <c r="A404" s="4">
        <v>401</v>
      </c>
      <c r="B404" s="5">
        <v>132509.74711721062</v>
      </c>
      <c r="C404" s="19">
        <v>64.580469424994135</v>
      </c>
      <c r="D404" s="5">
        <v>248857.3379702722</v>
      </c>
      <c r="E404" s="6">
        <v>87.803043462264768</v>
      </c>
    </row>
    <row r="405" spans="1:5" x14ac:dyDescent="0.3">
      <c r="A405" s="4">
        <v>402</v>
      </c>
      <c r="B405" s="5">
        <v>98771.659029741539</v>
      </c>
      <c r="C405" s="19">
        <v>22.676907643792326</v>
      </c>
      <c r="D405" s="5">
        <v>202274.57146641056</v>
      </c>
      <c r="E405" s="6">
        <v>104.79009207034058</v>
      </c>
    </row>
    <row r="406" spans="1:5" x14ac:dyDescent="0.3">
      <c r="A406" s="4">
        <v>403</v>
      </c>
      <c r="B406" s="5">
        <v>32532.694601259871</v>
      </c>
      <c r="C406" s="19">
        <v>-59.593567525268462</v>
      </c>
      <c r="D406" s="5">
        <v>64663.735780054725</v>
      </c>
      <c r="E406" s="6">
        <v>98.765385322710202</v>
      </c>
    </row>
    <row r="407" spans="1:5" x14ac:dyDescent="0.3">
      <c r="A407" s="4">
        <v>404</v>
      </c>
      <c r="B407" s="5">
        <v>64496.095036602339</v>
      </c>
      <c r="C407" s="19">
        <v>-19.894212855045307</v>
      </c>
      <c r="D407" s="5">
        <v>122827.74445761705</v>
      </c>
      <c r="E407" s="6">
        <v>90.44214132330147</v>
      </c>
    </row>
    <row r="408" spans="1:5" x14ac:dyDescent="0.3">
      <c r="A408" s="4">
        <v>405</v>
      </c>
      <c r="B408" s="5">
        <v>118016.120560101</v>
      </c>
      <c r="C408" s="19">
        <v>46.579017348191812</v>
      </c>
      <c r="D408" s="5">
        <v>197089.89102983061</v>
      </c>
      <c r="E408" s="6">
        <v>67.002516346451529</v>
      </c>
    </row>
    <row r="409" spans="1:5" x14ac:dyDescent="0.3">
      <c r="A409" s="4">
        <v>406</v>
      </c>
      <c r="B409" s="5">
        <v>71511.474342648609</v>
      </c>
      <c r="C409" s="19">
        <v>-11.180933685006623</v>
      </c>
      <c r="D409" s="5">
        <v>129568.14305462048</v>
      </c>
      <c r="E409" s="6">
        <v>81.185109446621411</v>
      </c>
    </row>
    <row r="410" spans="1:5" x14ac:dyDescent="0.3">
      <c r="A410" s="4">
        <v>407</v>
      </c>
      <c r="B410" s="5">
        <v>69294.811039797263</v>
      </c>
      <c r="C410" s="19">
        <v>-13.934085772888382</v>
      </c>
      <c r="D410" s="5">
        <v>116202.16916091662</v>
      </c>
      <c r="E410" s="6">
        <v>67.692454048513966</v>
      </c>
    </row>
    <row r="411" spans="1:5" x14ac:dyDescent="0.3">
      <c r="A411" s="4">
        <v>408</v>
      </c>
      <c r="B411" s="5">
        <v>101104.92101074191</v>
      </c>
      <c r="C411" s="19">
        <v>25.574878249568666</v>
      </c>
      <c r="D411" s="5">
        <v>214160.13005621935</v>
      </c>
      <c r="E411" s="6">
        <v>111.81968979874468</v>
      </c>
    </row>
    <row r="412" spans="1:5" x14ac:dyDescent="0.3">
      <c r="A412" s="4">
        <v>409</v>
      </c>
      <c r="B412" s="5">
        <v>102191.48005862508</v>
      </c>
      <c r="C412" s="19">
        <v>26.924412167254037</v>
      </c>
      <c r="D412" s="5">
        <v>219658.89458212379</v>
      </c>
      <c r="E412" s="6">
        <v>114.94834447657492</v>
      </c>
    </row>
    <row r="413" spans="1:5" x14ac:dyDescent="0.3">
      <c r="A413" s="4">
        <v>410</v>
      </c>
      <c r="B413" s="5">
        <v>179588.10580557754</v>
      </c>
      <c r="C413" s="19">
        <v>123.05298590965756</v>
      </c>
      <c r="D413" s="5">
        <v>361353.00703277823</v>
      </c>
      <c r="E413" s="6">
        <v>101.21210444971214</v>
      </c>
    </row>
    <row r="414" spans="1:5" x14ac:dyDescent="0.3">
      <c r="A414" s="4">
        <v>411</v>
      </c>
      <c r="B414" s="5">
        <v>57842.112864591189</v>
      </c>
      <c r="C414" s="19">
        <v>-28.158627611240263</v>
      </c>
      <c r="D414" s="5">
        <v>97695.866150589005</v>
      </c>
      <c r="E414" s="6">
        <v>68.900929292288723</v>
      </c>
    </row>
    <row r="415" spans="1:5" x14ac:dyDescent="0.3">
      <c r="A415" s="4">
        <v>412</v>
      </c>
      <c r="B415" s="5">
        <v>88065.060073553919</v>
      </c>
      <c r="C415" s="19">
        <v>9.3790399737570116</v>
      </c>
      <c r="D415" s="5">
        <v>171011.10595272796</v>
      </c>
      <c r="E415" s="6">
        <v>94.187235902519845</v>
      </c>
    </row>
    <row r="416" spans="1:5" x14ac:dyDescent="0.3">
      <c r="A416" s="4">
        <v>413</v>
      </c>
      <c r="B416" s="5">
        <v>87417.623870307114</v>
      </c>
      <c r="C416" s="19">
        <v>8.5749077753999927</v>
      </c>
      <c r="D416" s="5">
        <v>143107.79747765017</v>
      </c>
      <c r="E416" s="6">
        <v>63.705888059786496</v>
      </c>
    </row>
    <row r="417" spans="1:5" x14ac:dyDescent="0.3">
      <c r="A417" s="4">
        <v>414</v>
      </c>
      <c r="B417" s="5">
        <v>116633.41489954015</v>
      </c>
      <c r="C417" s="19">
        <v>44.861661820447807</v>
      </c>
      <c r="D417" s="5">
        <v>200722.54592096197</v>
      </c>
      <c r="E417" s="6">
        <v>72.096946740220474</v>
      </c>
    </row>
    <row r="418" spans="1:5" x14ac:dyDescent="0.3">
      <c r="A418" s="4">
        <v>415</v>
      </c>
      <c r="B418" s="5">
        <v>24571.179647806341</v>
      </c>
      <c r="C418" s="19">
        <v>-69.481971185223131</v>
      </c>
      <c r="D418" s="5">
        <v>52399.339070231872</v>
      </c>
      <c r="E418" s="6">
        <v>113.2552845296948</v>
      </c>
    </row>
    <row r="419" spans="1:5" x14ac:dyDescent="0.3">
      <c r="A419" s="4">
        <v>416</v>
      </c>
      <c r="B419" s="5">
        <v>49256.727175860578</v>
      </c>
      <c r="C419" s="19">
        <v>-38.821894560169397</v>
      </c>
      <c r="D419" s="5">
        <v>91481.302231369118</v>
      </c>
      <c r="E419" s="6">
        <v>85.723468603089998</v>
      </c>
    </row>
    <row r="420" spans="1:5" x14ac:dyDescent="0.3">
      <c r="A420" s="4">
        <v>417</v>
      </c>
      <c r="B420" s="5">
        <v>119319.27831686416</v>
      </c>
      <c r="C420" s="19">
        <v>48.19757236024833</v>
      </c>
      <c r="D420" s="5">
        <v>192337.7479980661</v>
      </c>
      <c r="E420" s="6">
        <v>61.19586936093777</v>
      </c>
    </row>
    <row r="421" spans="1:5" x14ac:dyDescent="0.3">
      <c r="A421" s="4">
        <v>418</v>
      </c>
      <c r="B421" s="5">
        <v>29856.962725784095</v>
      </c>
      <c r="C421" s="19">
        <v>-62.916894432923755</v>
      </c>
      <c r="D421" s="5">
        <v>58630.789174461759</v>
      </c>
      <c r="E421" s="6">
        <v>96.372248955614467</v>
      </c>
    </row>
    <row r="422" spans="1:5" x14ac:dyDescent="0.3">
      <c r="A422" s="4">
        <v>419</v>
      </c>
      <c r="B422" s="5">
        <v>222632.58729861231</v>
      </c>
      <c r="C422" s="19">
        <v>176.51532452549372</v>
      </c>
      <c r="D422" s="5">
        <v>427462.51496770605</v>
      </c>
      <c r="E422" s="6">
        <v>92.003569717473454</v>
      </c>
    </row>
    <row r="423" spans="1:5" x14ac:dyDescent="0.3">
      <c r="A423" s="4">
        <v>420</v>
      </c>
      <c r="B423" s="5">
        <v>70973.171938304935</v>
      </c>
      <c r="C423" s="19">
        <v>-11.84951893497408</v>
      </c>
      <c r="D423" s="5">
        <v>142139.83129252266</v>
      </c>
      <c r="E423" s="6">
        <v>100.27262049958961</v>
      </c>
    </row>
    <row r="424" spans="1:5" x14ac:dyDescent="0.3">
      <c r="A424" s="4">
        <v>421</v>
      </c>
      <c r="B424" s="5">
        <v>86612.738498992767</v>
      </c>
      <c r="C424" s="19">
        <v>7.5752197137583686</v>
      </c>
      <c r="D424" s="5">
        <v>147225.36764186819</v>
      </c>
      <c r="E424" s="6">
        <v>69.981194675631116</v>
      </c>
    </row>
    <row r="425" spans="1:5" x14ac:dyDescent="0.3">
      <c r="A425" s="4">
        <v>422</v>
      </c>
      <c r="B425" s="5">
        <v>63911.722338501015</v>
      </c>
      <c r="C425" s="19">
        <v>-20.620018579265686</v>
      </c>
      <c r="D425" s="5">
        <v>115908.83955005869</v>
      </c>
      <c r="E425" s="6">
        <v>81.35771546909811</v>
      </c>
    </row>
    <row r="426" spans="1:5" x14ac:dyDescent="0.3">
      <c r="A426" s="4">
        <v>423</v>
      </c>
      <c r="B426" s="5">
        <v>90708.100924817962</v>
      </c>
      <c r="C426" s="19">
        <v>12.661763799542461</v>
      </c>
      <c r="D426" s="5">
        <v>143134.7103736235</v>
      </c>
      <c r="E426" s="6">
        <v>57.797053310881843</v>
      </c>
    </row>
    <row r="427" spans="1:5" x14ac:dyDescent="0.3">
      <c r="A427" s="4">
        <v>424</v>
      </c>
      <c r="B427" s="5">
        <v>45377.139869903804</v>
      </c>
      <c r="C427" s="19">
        <v>-43.640440470039934</v>
      </c>
      <c r="D427" s="5">
        <v>83037.389877742229</v>
      </c>
      <c r="E427" s="6">
        <v>82.993882196653004</v>
      </c>
    </row>
    <row r="428" spans="1:5" x14ac:dyDescent="0.3">
      <c r="A428" s="4">
        <v>425</v>
      </c>
      <c r="B428" s="5">
        <v>59730.592620147399</v>
      </c>
      <c r="C428" s="19">
        <v>-25.813087819408064</v>
      </c>
      <c r="D428" s="5">
        <v>124171.17254739619</v>
      </c>
      <c r="E428" s="6">
        <v>107.88538519457562</v>
      </c>
    </row>
    <row r="429" spans="1:5" x14ac:dyDescent="0.3">
      <c r="A429" s="4">
        <v>426</v>
      </c>
      <c r="B429" s="5">
        <v>292311.36689027835</v>
      </c>
      <c r="C429" s="19">
        <v>263.0581374403306</v>
      </c>
      <c r="D429" s="5">
        <v>522274.52990383224</v>
      </c>
      <c r="E429" s="6">
        <v>78.6706194357035</v>
      </c>
    </row>
    <row r="430" spans="1:5" x14ac:dyDescent="0.3">
      <c r="A430" s="4">
        <v>427</v>
      </c>
      <c r="B430" s="5">
        <v>83545.523610108183</v>
      </c>
      <c r="C430" s="19">
        <v>3.7656609664049738</v>
      </c>
      <c r="D430" s="5">
        <v>147216.26554594026</v>
      </c>
      <c r="E430" s="6">
        <v>76.210835942535809</v>
      </c>
    </row>
    <row r="431" spans="1:5" x14ac:dyDescent="0.3">
      <c r="A431" s="4">
        <v>428</v>
      </c>
      <c r="B431" s="5">
        <v>77737.167718543104</v>
      </c>
      <c r="C431" s="19">
        <v>-3.4484644848770292</v>
      </c>
      <c r="D431" s="5">
        <v>148517.66082601639</v>
      </c>
      <c r="E431" s="6">
        <v>91.051031552555003</v>
      </c>
    </row>
    <row r="432" spans="1:5" x14ac:dyDescent="0.3">
      <c r="A432" s="4">
        <v>429</v>
      </c>
      <c r="B432" s="5">
        <v>93289.764804514969</v>
      </c>
      <c r="C432" s="19">
        <v>15.868255868705116</v>
      </c>
      <c r="D432" s="5">
        <v>176826.93555723294</v>
      </c>
      <c r="E432" s="6">
        <v>89.545912059877978</v>
      </c>
    </row>
    <row r="433" spans="1:5" x14ac:dyDescent="0.3">
      <c r="A433" s="4">
        <v>430</v>
      </c>
      <c r="B433" s="5">
        <v>33575.975734042113</v>
      </c>
      <c r="C433" s="19">
        <v>-58.297785876665195</v>
      </c>
      <c r="D433" s="5">
        <v>66685.958346861124</v>
      </c>
      <c r="E433" s="6">
        <v>98.612123367867937</v>
      </c>
    </row>
    <row r="434" spans="1:5" x14ac:dyDescent="0.3">
      <c r="A434" s="4">
        <v>431</v>
      </c>
      <c r="B434" s="5">
        <v>61291.030788307136</v>
      </c>
      <c r="C434" s="19">
        <v>-23.874984005827912</v>
      </c>
      <c r="D434" s="5">
        <v>103235.43282946406</v>
      </c>
      <c r="E434" s="6">
        <v>68.434812568299819</v>
      </c>
    </row>
    <row r="435" spans="1:5" x14ac:dyDescent="0.3">
      <c r="A435" s="4">
        <v>432</v>
      </c>
      <c r="B435" s="5">
        <v>79208.789730667937</v>
      </c>
      <c r="C435" s="19">
        <v>-1.6206725915197586</v>
      </c>
      <c r="D435" s="5">
        <v>168980.57980292386</v>
      </c>
      <c r="E435" s="6">
        <v>113.33564163460285</v>
      </c>
    </row>
    <row r="436" spans="1:5" x14ac:dyDescent="0.3">
      <c r="A436" s="4">
        <v>433</v>
      </c>
      <c r="B436" s="5">
        <v>94527.57575156854</v>
      </c>
      <c r="C436" s="19">
        <v>17.405648484399077</v>
      </c>
      <c r="D436" s="5">
        <v>161031.08075453492</v>
      </c>
      <c r="E436" s="6">
        <v>70.353549717329827</v>
      </c>
    </row>
    <row r="437" spans="1:5" x14ac:dyDescent="0.3">
      <c r="A437" s="4">
        <v>434</v>
      </c>
      <c r="B437" s="5">
        <v>73476.148854993182</v>
      </c>
      <c r="C437" s="19">
        <v>-8.7407580711857271</v>
      </c>
      <c r="D437" s="5">
        <v>127072.57506307491</v>
      </c>
      <c r="E437" s="6">
        <v>72.943978479132682</v>
      </c>
    </row>
    <row r="438" spans="1:5" x14ac:dyDescent="0.3">
      <c r="A438" s="4">
        <v>435</v>
      </c>
      <c r="B438" s="5">
        <v>48173.64626976561</v>
      </c>
      <c r="C438" s="19">
        <v>-40.167108537467875</v>
      </c>
      <c r="D438" s="5">
        <v>108855.96185490584</v>
      </c>
      <c r="E438" s="6">
        <v>125.96579309219781</v>
      </c>
    </row>
    <row r="439" spans="1:5" x14ac:dyDescent="0.3">
      <c r="A439" s="4">
        <v>436</v>
      </c>
      <c r="B439" s="5">
        <v>62760.145295192284</v>
      </c>
      <c r="C439" s="19">
        <v>-22.050306497626533</v>
      </c>
      <c r="D439" s="5">
        <v>125389.48092897565</v>
      </c>
      <c r="E439" s="6">
        <v>99.791572086403477</v>
      </c>
    </row>
    <row r="440" spans="1:5" x14ac:dyDescent="0.3">
      <c r="A440" s="4">
        <v>437</v>
      </c>
      <c r="B440" s="5">
        <v>109086.10405000625</v>
      </c>
      <c r="C440" s="19">
        <v>35.487710171336943</v>
      </c>
      <c r="D440" s="5">
        <v>168373.83610248368</v>
      </c>
      <c r="E440" s="6">
        <v>54.349481603357376</v>
      </c>
    </row>
    <row r="441" spans="1:5" x14ac:dyDescent="0.3">
      <c r="A441" s="4">
        <v>438</v>
      </c>
      <c r="B441" s="5">
        <v>73884.537765005589</v>
      </c>
      <c r="C441" s="19">
        <v>-8.2335286787822302</v>
      </c>
      <c r="D441" s="5">
        <v>148703.30384607764</v>
      </c>
      <c r="E441" s="6">
        <v>101.26444360934875</v>
      </c>
    </row>
    <row r="442" spans="1:5" x14ac:dyDescent="0.3">
      <c r="A442" s="4">
        <v>439</v>
      </c>
      <c r="B442" s="5">
        <v>70583.918781855027</v>
      </c>
      <c r="C442" s="19">
        <v>-12.332981235728603</v>
      </c>
      <c r="D442" s="5">
        <v>127850.87140192246</v>
      </c>
      <c r="E442" s="6">
        <v>81.133144218097769</v>
      </c>
    </row>
    <row r="443" spans="1:5" x14ac:dyDescent="0.3">
      <c r="A443" s="4">
        <v>440</v>
      </c>
      <c r="B443" s="5">
        <v>125569.69781984793</v>
      </c>
      <c r="C443" s="19">
        <v>55.960752037848053</v>
      </c>
      <c r="D443" s="5">
        <v>260558.03143736272</v>
      </c>
      <c r="E443" s="6">
        <v>107.50072347166078</v>
      </c>
    </row>
    <row r="444" spans="1:5" x14ac:dyDescent="0.3">
      <c r="A444" s="4">
        <v>441</v>
      </c>
      <c r="B444" s="5">
        <v>69558.71582766324</v>
      </c>
      <c r="C444" s="19">
        <v>-13.606309327642682</v>
      </c>
      <c r="D444" s="5">
        <v>131426.76304258779</v>
      </c>
      <c r="E444" s="6">
        <v>88.943630541149034</v>
      </c>
    </row>
    <row r="445" spans="1:5" x14ac:dyDescent="0.3">
      <c r="A445" s="4">
        <v>442</v>
      </c>
      <c r="B445" s="5">
        <v>109096.83176436975</v>
      </c>
      <c r="C445" s="19">
        <v>35.501034264878832</v>
      </c>
      <c r="D445" s="5">
        <v>202804.20770678023</v>
      </c>
      <c r="E445" s="6">
        <v>85.89376467393862</v>
      </c>
    </row>
    <row r="446" spans="1:5" x14ac:dyDescent="0.3">
      <c r="A446" s="4">
        <v>443</v>
      </c>
      <c r="B446" s="5">
        <v>50782.549284708781</v>
      </c>
      <c r="C446" s="19">
        <v>-36.926784770916356</v>
      </c>
      <c r="D446" s="5">
        <v>104491.7772841086</v>
      </c>
      <c r="E446" s="6">
        <v>105.76315832094765</v>
      </c>
    </row>
    <row r="447" spans="1:5" x14ac:dyDescent="0.3">
      <c r="A447" s="4">
        <v>444</v>
      </c>
      <c r="B447" s="5">
        <v>56941.614468392552</v>
      </c>
      <c r="C447" s="19">
        <v>-29.277069476741165</v>
      </c>
      <c r="D447" s="5">
        <v>111412.95758476283</v>
      </c>
      <c r="E447" s="6">
        <v>95.661746904992512</v>
      </c>
    </row>
    <row r="448" spans="1:5" x14ac:dyDescent="0.3">
      <c r="A448" s="4">
        <v>445</v>
      </c>
      <c r="B448" s="5">
        <v>100037.81660625851</v>
      </c>
      <c r="C448" s="19">
        <v>24.249507492804572</v>
      </c>
      <c r="D448" s="5">
        <v>181266.12203600325</v>
      </c>
      <c r="E448" s="6">
        <v>81.197599253343739</v>
      </c>
    </row>
    <row r="449" spans="1:5" x14ac:dyDescent="0.3">
      <c r="A449" s="4">
        <v>446</v>
      </c>
      <c r="B449" s="5">
        <v>86538.894621446758</v>
      </c>
      <c r="C449" s="19">
        <v>7.4835037434612266</v>
      </c>
      <c r="D449" s="5">
        <v>152279.2958305772</v>
      </c>
      <c r="E449" s="6">
        <v>75.966305667183946</v>
      </c>
    </row>
    <row r="450" spans="1:5" x14ac:dyDescent="0.3">
      <c r="A450" s="4">
        <v>447</v>
      </c>
      <c r="B450" s="5">
        <v>54452.502118816832</v>
      </c>
      <c r="C450" s="19">
        <v>-32.368610196250351</v>
      </c>
      <c r="D450" s="5">
        <v>100152.82803886493</v>
      </c>
      <c r="E450" s="6">
        <v>83.926953109204689</v>
      </c>
    </row>
    <row r="451" spans="1:5" x14ac:dyDescent="0.3">
      <c r="A451" s="4">
        <v>448</v>
      </c>
      <c r="B451" s="5">
        <v>81975.806275912357</v>
      </c>
      <c r="C451" s="19">
        <v>1.8160321930741918</v>
      </c>
      <c r="D451" s="5">
        <v>156180.30842899095</v>
      </c>
      <c r="E451" s="6">
        <v>90.520002820494028</v>
      </c>
    </row>
    <row r="452" spans="1:5" x14ac:dyDescent="0.3">
      <c r="A452" s="4">
        <v>449</v>
      </c>
      <c r="B452" s="5">
        <v>60300.638518503059</v>
      </c>
      <c r="C452" s="19">
        <v>-25.105076344130094</v>
      </c>
      <c r="D452" s="5">
        <v>120955.5079166978</v>
      </c>
      <c r="E452" s="6">
        <v>100.58744134124382</v>
      </c>
    </row>
    <row r="453" spans="1:5" x14ac:dyDescent="0.3">
      <c r="A453" s="4">
        <v>450</v>
      </c>
      <c r="B453" s="5">
        <v>63411.535520864643</v>
      </c>
      <c r="C453" s="19">
        <v>-21.241263303051714</v>
      </c>
      <c r="D453" s="5">
        <v>145519.01969867756</v>
      </c>
      <c r="E453" s="6">
        <v>129.48351353326973</v>
      </c>
    </row>
    <row r="454" spans="1:5" x14ac:dyDescent="0.3">
      <c r="A454" s="4">
        <v>451</v>
      </c>
      <c r="B454" s="5">
        <v>125511.16346548403</v>
      </c>
      <c r="C454" s="19">
        <v>55.88805088394593</v>
      </c>
      <c r="D454" s="5">
        <v>258345.40275713467</v>
      </c>
      <c r="E454" s="6">
        <v>105.83460118125707</v>
      </c>
    </row>
    <row r="455" spans="1:5" x14ac:dyDescent="0.3">
      <c r="A455" s="4">
        <v>452</v>
      </c>
      <c r="B455" s="5">
        <v>73195.411260626322</v>
      </c>
      <c r="C455" s="19">
        <v>-9.0894412893739851</v>
      </c>
      <c r="D455" s="5">
        <v>148064.93656312567</v>
      </c>
      <c r="E455" s="6">
        <v>102.28718441913254</v>
      </c>
    </row>
    <row r="456" spans="1:5" x14ac:dyDescent="0.3">
      <c r="A456" s="4">
        <v>453</v>
      </c>
      <c r="B456" s="5">
        <v>93821.121084508733</v>
      </c>
      <c r="C456" s="19">
        <v>16.528213855915965</v>
      </c>
      <c r="D456" s="5">
        <v>151291.31276299583</v>
      </c>
      <c r="E456" s="6">
        <v>61.255068170333651</v>
      </c>
    </row>
    <row r="457" spans="1:5" x14ac:dyDescent="0.3">
      <c r="A457" s="4">
        <v>454</v>
      </c>
      <c r="B457" s="5">
        <v>33494.745117563325</v>
      </c>
      <c r="C457" s="19">
        <v>-58.398676364215042</v>
      </c>
      <c r="D457" s="5">
        <v>61603.291222743239</v>
      </c>
      <c r="E457" s="6">
        <v>83.919271535047145</v>
      </c>
    </row>
    <row r="458" spans="1:5" x14ac:dyDescent="0.3">
      <c r="A458" s="4">
        <v>455</v>
      </c>
      <c r="B458" s="5">
        <v>186577.66494017807</v>
      </c>
      <c r="C458" s="19">
        <v>131.73419577136519</v>
      </c>
      <c r="D458" s="5">
        <v>323029.77282430232</v>
      </c>
      <c r="E458" s="6">
        <v>73.134213534012517</v>
      </c>
    </row>
    <row r="459" spans="1:5" x14ac:dyDescent="0.3">
      <c r="A459" s="4">
        <v>456</v>
      </c>
      <c r="B459" s="5">
        <v>67062.471211354801</v>
      </c>
      <c r="C459" s="19">
        <v>-16.706708503472804</v>
      </c>
      <c r="D459" s="5">
        <v>139520.4144047297</v>
      </c>
      <c r="E459" s="6">
        <v>108.04544163756755</v>
      </c>
    </row>
    <row r="460" spans="1:5" x14ac:dyDescent="0.3">
      <c r="A460" s="4">
        <v>457</v>
      </c>
      <c r="B460" s="5">
        <v>51371.843924923771</v>
      </c>
      <c r="C460" s="19">
        <v>-36.194865869656759</v>
      </c>
      <c r="D460" s="5">
        <v>103663.22576406045</v>
      </c>
      <c r="E460" s="6">
        <v>101.78996478218059</v>
      </c>
    </row>
    <row r="461" spans="1:5" x14ac:dyDescent="0.3">
      <c r="A461" s="4">
        <v>458</v>
      </c>
      <c r="B461" s="5">
        <v>56137.522523815009</v>
      </c>
      <c r="C461" s="19">
        <v>-30.275772082236063</v>
      </c>
      <c r="D461" s="5">
        <v>94493.470574300096</v>
      </c>
      <c r="E461" s="6">
        <v>68.324974680194501</v>
      </c>
    </row>
    <row r="462" spans="1:5" x14ac:dyDescent="0.3">
      <c r="A462" s="4">
        <v>459</v>
      </c>
      <c r="B462" s="5">
        <v>28387.199016408573</v>
      </c>
      <c r="C462" s="19">
        <v>-64.742378267096939</v>
      </c>
      <c r="D462" s="5">
        <v>58653.878703123904</v>
      </c>
      <c r="E462" s="6">
        <v>106.6208739693563</v>
      </c>
    </row>
    <row r="463" spans="1:5" x14ac:dyDescent="0.3">
      <c r="A463" s="4">
        <v>460</v>
      </c>
      <c r="B463" s="5">
        <v>71464.048031227183</v>
      </c>
      <c r="C463" s="19">
        <v>-11.239838367617857</v>
      </c>
      <c r="D463" s="5">
        <v>108570.76429247863</v>
      </c>
      <c r="E463" s="6">
        <v>51.923613737969575</v>
      </c>
    </row>
    <row r="464" spans="1:5" x14ac:dyDescent="0.3">
      <c r="A464" s="4">
        <v>461</v>
      </c>
      <c r="B464" s="5">
        <v>214132.41711270052</v>
      </c>
      <c r="C464" s="19">
        <v>165.95789739409744</v>
      </c>
      <c r="D464" s="5">
        <v>317742.95080377156</v>
      </c>
      <c r="E464" s="6">
        <v>48.386197236329487</v>
      </c>
    </row>
    <row r="465" spans="1:5" x14ac:dyDescent="0.3">
      <c r="A465" s="4">
        <v>462</v>
      </c>
      <c r="B465" s="5">
        <v>66912.976273535518</v>
      </c>
      <c r="C465" s="19">
        <v>-16.892385010886212</v>
      </c>
      <c r="D465" s="5">
        <v>102248.1053212222</v>
      </c>
      <c r="E465" s="6">
        <v>52.807588326723319</v>
      </c>
    </row>
    <row r="466" spans="1:5" x14ac:dyDescent="0.3">
      <c r="A466" s="4">
        <v>463</v>
      </c>
      <c r="B466" s="5">
        <v>54158.386964597412</v>
      </c>
      <c r="C466" s="19">
        <v>-32.733908683339159</v>
      </c>
      <c r="D466" s="5">
        <v>95894.114242497148</v>
      </c>
      <c r="E466" s="6">
        <v>77.062352882078642</v>
      </c>
    </row>
    <row r="467" spans="1:5" x14ac:dyDescent="0.3">
      <c r="A467" s="4">
        <v>464</v>
      </c>
      <c r="B467" s="5">
        <v>57619.131423842649</v>
      </c>
      <c r="C467" s="19">
        <v>-28.43557622060554</v>
      </c>
      <c r="D467" s="5">
        <v>120570.06942531587</v>
      </c>
      <c r="E467" s="6">
        <v>109.25353514687708</v>
      </c>
    </row>
    <row r="468" spans="1:5" x14ac:dyDescent="0.3">
      <c r="A468" s="4">
        <v>465</v>
      </c>
      <c r="B468" s="5">
        <v>59782.072978830314</v>
      </c>
      <c r="C468" s="19">
        <v>-25.749147907193858</v>
      </c>
      <c r="D468" s="5">
        <v>103181.94022577912</v>
      </c>
      <c r="E468" s="6">
        <v>72.596792122476785</v>
      </c>
    </row>
    <row r="469" spans="1:5" x14ac:dyDescent="0.3">
      <c r="A469" s="4">
        <v>466</v>
      </c>
      <c r="B469" s="5">
        <v>63186.740551060655</v>
      </c>
      <c r="C469" s="19">
        <v>-21.520464361536813</v>
      </c>
      <c r="D469" s="5">
        <v>132288.75220657984</v>
      </c>
      <c r="E469" s="6">
        <v>109.36157024855311</v>
      </c>
    </row>
    <row r="470" spans="1:5" x14ac:dyDescent="0.3">
      <c r="A470" s="4">
        <v>467</v>
      </c>
      <c r="B470" s="5">
        <v>64430.91957533831</v>
      </c>
      <c r="C470" s="19">
        <v>-19.975162432289132</v>
      </c>
      <c r="D470" s="5">
        <v>122404.78981736378</v>
      </c>
      <c r="E470" s="6">
        <v>89.978337456812667</v>
      </c>
    </row>
    <row r="471" spans="1:5" x14ac:dyDescent="0.3">
      <c r="A471" s="4">
        <v>468</v>
      </c>
      <c r="B471" s="5">
        <v>55746.713508062472</v>
      </c>
      <c r="C471" s="19">
        <v>-30.761166799736948</v>
      </c>
      <c r="D471" s="5">
        <v>98287.823872530294</v>
      </c>
      <c r="E471" s="6">
        <v>76.311423019251592</v>
      </c>
    </row>
    <row r="472" spans="1:5" x14ac:dyDescent="0.3">
      <c r="A472" s="4">
        <v>469</v>
      </c>
      <c r="B472" s="5">
        <v>67275.335953197427</v>
      </c>
      <c r="C472" s="19">
        <v>-16.44232509094164</v>
      </c>
      <c r="D472" s="5">
        <v>118293.13408146522</v>
      </c>
      <c r="E472" s="6">
        <v>75.83432680850558</v>
      </c>
    </row>
    <row r="473" spans="1:5" x14ac:dyDescent="0.3">
      <c r="A473" s="4">
        <v>470</v>
      </c>
      <c r="B473" s="5">
        <v>60802.364112307318</v>
      </c>
      <c r="C473" s="19">
        <v>-24.481920421284673</v>
      </c>
      <c r="D473" s="5">
        <v>95049.851393922145</v>
      </c>
      <c r="E473" s="6">
        <v>56.325913937090846</v>
      </c>
    </row>
    <row r="474" spans="1:5" x14ac:dyDescent="0.3">
      <c r="A474" s="4">
        <v>471</v>
      </c>
      <c r="B474" s="5">
        <v>58104.556093877327</v>
      </c>
      <c r="C474" s="19">
        <v>-27.832666458849577</v>
      </c>
      <c r="D474" s="5">
        <v>101931.609604568</v>
      </c>
      <c r="E474" s="6">
        <v>75.427912124276403</v>
      </c>
    </row>
    <row r="475" spans="1:5" x14ac:dyDescent="0.3">
      <c r="A475" s="4">
        <v>472</v>
      </c>
      <c r="B475" s="5">
        <v>62616.436490104468</v>
      </c>
      <c r="C475" s="19">
        <v>-22.228796481317598</v>
      </c>
      <c r="D475" s="5">
        <v>119737.46330463132</v>
      </c>
      <c r="E475" s="6">
        <v>91.223694634161959</v>
      </c>
    </row>
    <row r="476" spans="1:5" x14ac:dyDescent="0.3">
      <c r="A476" s="4">
        <v>473</v>
      </c>
      <c r="B476" s="5">
        <v>64283.127502421892</v>
      </c>
      <c r="C476" s="19">
        <v>-20.15872393826923</v>
      </c>
      <c r="D476" s="5">
        <v>132388.97536410653</v>
      </c>
      <c r="E476" s="6">
        <v>105.94669318028861</v>
      </c>
    </row>
    <row r="477" spans="1:5" x14ac:dyDescent="0.3">
      <c r="A477" s="4">
        <v>474</v>
      </c>
      <c r="B477" s="5">
        <v>66839.315712191441</v>
      </c>
      <c r="C477" s="19">
        <v>-16.983873297807424</v>
      </c>
      <c r="D477" s="5">
        <v>120942.46799337472</v>
      </c>
      <c r="E477" s="6">
        <v>80.945102002764685</v>
      </c>
    </row>
    <row r="478" spans="1:5" x14ac:dyDescent="0.3">
      <c r="A478" s="4">
        <v>475</v>
      </c>
      <c r="B478" s="5">
        <v>128738.14759227417</v>
      </c>
      <c r="C478" s="19">
        <v>59.896047080213258</v>
      </c>
      <c r="D478" s="5">
        <v>241028.33672482707</v>
      </c>
      <c r="E478" s="6">
        <v>87.2237104794971</v>
      </c>
    </row>
    <row r="479" spans="1:5" x14ac:dyDescent="0.3">
      <c r="A479" s="4">
        <v>476</v>
      </c>
      <c r="B479" s="5">
        <v>28562.078777950475</v>
      </c>
      <c r="C479" s="19">
        <v>-64.525173164275031</v>
      </c>
      <c r="D479" s="5">
        <v>55421.720739304335</v>
      </c>
      <c r="E479" s="6">
        <v>94.039520618118061</v>
      </c>
    </row>
    <row r="480" spans="1:5" x14ac:dyDescent="0.3">
      <c r="A480" s="4">
        <v>477</v>
      </c>
      <c r="B480" s="5">
        <v>75307.855532877074</v>
      </c>
      <c r="C480" s="19">
        <v>-6.4657318828980808</v>
      </c>
      <c r="D480" s="5">
        <v>149462.92273191962</v>
      </c>
      <c r="E480" s="6">
        <v>98.469232292332038</v>
      </c>
    </row>
    <row r="481" spans="1:5" x14ac:dyDescent="0.3">
      <c r="A481" s="4">
        <v>478</v>
      </c>
      <c r="B481" s="5">
        <v>66517.386136713292</v>
      </c>
      <c r="C481" s="19">
        <v>-17.383718002115227</v>
      </c>
      <c r="D481" s="5">
        <v>130117.32150724952</v>
      </c>
      <c r="E481" s="6">
        <v>95.614002690693795</v>
      </c>
    </row>
    <row r="482" spans="1:5" x14ac:dyDescent="0.3">
      <c r="A482" s="4">
        <v>479</v>
      </c>
      <c r="B482" s="5">
        <v>69364.303289232441</v>
      </c>
      <c r="C482" s="19">
        <v>-13.847774635162615</v>
      </c>
      <c r="D482" s="5">
        <v>129314.32829679539</v>
      </c>
      <c r="E482" s="6">
        <v>86.427776485529989</v>
      </c>
    </row>
    <row r="483" spans="1:5" x14ac:dyDescent="0.3">
      <c r="A483" s="4">
        <v>480</v>
      </c>
      <c r="B483" s="5">
        <v>105365.13553768081</v>
      </c>
      <c r="C483" s="19">
        <v>30.866172829389939</v>
      </c>
      <c r="D483" s="5">
        <v>192637.23993760382</v>
      </c>
      <c r="E483" s="6">
        <v>82.828256191738731</v>
      </c>
    </row>
    <row r="484" spans="1:5" x14ac:dyDescent="0.3">
      <c r="A484" s="4">
        <v>481</v>
      </c>
      <c r="B484" s="5">
        <v>89459.60433882456</v>
      </c>
      <c r="C484" s="19">
        <v>11.111099349050813</v>
      </c>
      <c r="D484" s="5">
        <v>159117.10906536633</v>
      </c>
      <c r="E484" s="6">
        <v>77.864758335747652</v>
      </c>
    </row>
    <row r="485" spans="1:5" x14ac:dyDescent="0.3">
      <c r="A485" s="4">
        <v>482</v>
      </c>
      <c r="B485" s="5">
        <v>41810.69293651051</v>
      </c>
      <c r="C485" s="19">
        <v>-48.070058088719726</v>
      </c>
      <c r="D485" s="5">
        <v>89825.99367813734</v>
      </c>
      <c r="E485" s="6">
        <v>114.83976315469829</v>
      </c>
    </row>
    <row r="486" spans="1:5" x14ac:dyDescent="0.3">
      <c r="A486" s="4">
        <v>483</v>
      </c>
      <c r="B486" s="5">
        <v>67677.050680072323</v>
      </c>
      <c r="C486" s="19">
        <v>-15.943385203406251</v>
      </c>
      <c r="D486" s="5">
        <v>141261.64665176644</v>
      </c>
      <c r="E486" s="6">
        <v>108.72902295868114</v>
      </c>
    </row>
    <row r="487" spans="1:5" x14ac:dyDescent="0.3">
      <c r="A487" s="4">
        <v>484</v>
      </c>
      <c r="B487" s="5">
        <v>85289.843749024032</v>
      </c>
      <c r="C487" s="19">
        <v>5.9321508551548625</v>
      </c>
      <c r="D487" s="5">
        <v>162985.51327752834</v>
      </c>
      <c r="E487" s="6">
        <v>91.096039239013578</v>
      </c>
    </row>
    <row r="488" spans="1:5" x14ac:dyDescent="0.3">
      <c r="A488" s="4">
        <v>485</v>
      </c>
      <c r="B488" s="5">
        <v>73795.083889611342</v>
      </c>
      <c r="C488" s="19">
        <v>-8.3446326626366982</v>
      </c>
      <c r="D488" s="5">
        <v>146295.67410405428</v>
      </c>
      <c r="E488" s="6">
        <v>98.245826677147207</v>
      </c>
    </row>
    <row r="489" spans="1:5" x14ac:dyDescent="0.3">
      <c r="A489" s="4">
        <v>486</v>
      </c>
      <c r="B489" s="5">
        <v>96999.249993054589</v>
      </c>
      <c r="C489" s="19">
        <v>20.475530631028015</v>
      </c>
      <c r="D489" s="5">
        <v>192420.45653831644</v>
      </c>
      <c r="E489" s="6">
        <v>98.37313850580729</v>
      </c>
    </row>
    <row r="490" spans="1:5" x14ac:dyDescent="0.3">
      <c r="A490" s="4">
        <v>487</v>
      </c>
      <c r="B490" s="5">
        <v>52926.834429923605</v>
      </c>
      <c r="C490" s="19">
        <v>-34.263528191999669</v>
      </c>
      <c r="D490" s="5">
        <v>101697.62595364438</v>
      </c>
      <c r="E490" s="6">
        <v>92.147569468365759</v>
      </c>
    </row>
    <row r="491" spans="1:5" x14ac:dyDescent="0.3">
      <c r="A491" s="4">
        <v>488</v>
      </c>
      <c r="B491" s="5">
        <v>70647.285421750552</v>
      </c>
      <c r="C491" s="19">
        <v>-12.254278260537916</v>
      </c>
      <c r="D491" s="5">
        <v>143799.40021748055</v>
      </c>
      <c r="E491" s="6">
        <v>103.54554227954564</v>
      </c>
    </row>
    <row r="492" spans="1:5" x14ac:dyDescent="0.3">
      <c r="A492" s="4">
        <v>489</v>
      </c>
      <c r="B492" s="5">
        <v>54962.208110629428</v>
      </c>
      <c r="C492" s="19">
        <v>-31.735542416511503</v>
      </c>
      <c r="D492" s="5">
        <v>97282.230072372768</v>
      </c>
      <c r="E492" s="6">
        <v>76.998402023005426</v>
      </c>
    </row>
    <row r="493" spans="1:5" x14ac:dyDescent="0.3">
      <c r="A493" s="4">
        <v>490</v>
      </c>
      <c r="B493" s="5">
        <v>47562.85324012005</v>
      </c>
      <c r="C493" s="19">
        <v>-40.925728984095564</v>
      </c>
      <c r="D493" s="5">
        <v>108412.383289244</v>
      </c>
      <c r="E493" s="6">
        <v>127.9349868728993</v>
      </c>
    </row>
    <row r="494" spans="1:5" x14ac:dyDescent="0.3">
      <c r="A494" s="4">
        <v>491</v>
      </c>
      <c r="B494" s="5">
        <v>52205.48021746031</v>
      </c>
      <c r="C494" s="19">
        <v>-35.159468434070256</v>
      </c>
      <c r="D494" s="5">
        <v>109185.14850458383</v>
      </c>
      <c r="E494" s="6">
        <v>109.14499406915994</v>
      </c>
    </row>
    <row r="495" spans="1:5" x14ac:dyDescent="0.3">
      <c r="A495" s="4">
        <v>492</v>
      </c>
      <c r="B495" s="5">
        <v>40627.309447809508</v>
      </c>
      <c r="C495" s="19">
        <v>-49.539850419603297</v>
      </c>
      <c r="D495" s="5">
        <v>88303.916259527337</v>
      </c>
      <c r="E495" s="6">
        <v>117.3511302119673</v>
      </c>
    </row>
    <row r="496" spans="1:5" x14ac:dyDescent="0.3">
      <c r="A496" s="4">
        <v>493</v>
      </c>
      <c r="B496" s="5">
        <v>49565.295465355048</v>
      </c>
      <c r="C496" s="19">
        <v>-38.438644912203912</v>
      </c>
      <c r="D496" s="5">
        <v>96232.128958265617</v>
      </c>
      <c r="E496" s="6">
        <v>94.152235056340103</v>
      </c>
    </row>
    <row r="497" spans="1:5" x14ac:dyDescent="0.3">
      <c r="A497" s="4">
        <v>494</v>
      </c>
      <c r="B497" s="5">
        <v>64936.721132112791</v>
      </c>
      <c r="C497" s="19">
        <v>-19.346944059974202</v>
      </c>
      <c r="D497" s="5">
        <v>126499.72608648005</v>
      </c>
      <c r="E497" s="6">
        <v>94.804609596961697</v>
      </c>
    </row>
    <row r="498" spans="1:5" x14ac:dyDescent="0.3">
      <c r="A498" s="4">
        <v>495</v>
      </c>
      <c r="B498" s="5">
        <v>56637.942659956476</v>
      </c>
      <c r="C498" s="19">
        <v>-29.654237570944364</v>
      </c>
      <c r="D498" s="5">
        <v>108105.45000970228</v>
      </c>
      <c r="E498" s="6">
        <v>90.871074994279027</v>
      </c>
    </row>
    <row r="499" spans="1:5" x14ac:dyDescent="0.3">
      <c r="A499" s="4">
        <v>496</v>
      </c>
      <c r="B499" s="5">
        <v>33395.994950718523</v>
      </c>
      <c r="C499" s="19">
        <v>-58.521326578019597</v>
      </c>
      <c r="D499" s="5">
        <v>65374.35579180919</v>
      </c>
      <c r="E499" s="6">
        <v>95.755077482435198</v>
      </c>
    </row>
    <row r="500" spans="1:5" x14ac:dyDescent="0.3">
      <c r="A500" s="4">
        <v>497</v>
      </c>
      <c r="B500" s="5">
        <v>66305.791348677114</v>
      </c>
      <c r="C500" s="19">
        <v>-17.646524099783445</v>
      </c>
      <c r="D500" s="5">
        <v>114132.07360581119</v>
      </c>
      <c r="E500" s="6">
        <v>72.129871741721203</v>
      </c>
    </row>
    <row r="501" spans="1:5" x14ac:dyDescent="0.3">
      <c r="A501" s="4">
        <v>498</v>
      </c>
      <c r="B501" s="5">
        <v>32655.844585158702</v>
      </c>
      <c r="C501" s="19">
        <v>-59.440612119340308</v>
      </c>
      <c r="D501" s="5">
        <v>65952.737996979165</v>
      </c>
      <c r="E501" s="6">
        <v>101.96304470089589</v>
      </c>
    </row>
    <row r="502" spans="1:5" x14ac:dyDescent="0.3">
      <c r="A502" s="4">
        <v>499</v>
      </c>
      <c r="B502" s="5">
        <v>98728.55223267588</v>
      </c>
      <c r="C502" s="19">
        <v>22.623367907653531</v>
      </c>
      <c r="D502" s="5">
        <v>171896.06410315557</v>
      </c>
      <c r="E502" s="6">
        <v>74.109779000956195</v>
      </c>
    </row>
    <row r="503" spans="1:5" x14ac:dyDescent="0.3">
      <c r="A503" s="4">
        <v>500</v>
      </c>
      <c r="B503" s="5">
        <v>57526.254919457097</v>
      </c>
      <c r="C503" s="19">
        <v>-28.55093119654407</v>
      </c>
      <c r="D503" s="5">
        <v>110883.90766284658</v>
      </c>
      <c r="E503" s="6">
        <v>92.753565859790285</v>
      </c>
    </row>
    <row r="504" spans="1:5" x14ac:dyDescent="0.3">
      <c r="A504" s="4">
        <v>501</v>
      </c>
      <c r="B504" s="5">
        <v>69612.274439654313</v>
      </c>
      <c r="C504" s="19">
        <v>-13.539788172067274</v>
      </c>
      <c r="D504" s="5">
        <v>144488.6758489096</v>
      </c>
      <c r="E504" s="6">
        <v>107.56206719572761</v>
      </c>
    </row>
    <row r="505" spans="1:5" x14ac:dyDescent="0.3">
      <c r="A505" s="4">
        <v>502</v>
      </c>
      <c r="B505" s="5">
        <v>43753.486523302745</v>
      </c>
      <c r="C505" s="19">
        <v>-45.657059139840101</v>
      </c>
      <c r="D505" s="5">
        <v>81640.381238206886</v>
      </c>
      <c r="E505" s="6">
        <v>86.591715827551013</v>
      </c>
    </row>
    <row r="506" spans="1:5" x14ac:dyDescent="0.3">
      <c r="A506" s="4">
        <v>503</v>
      </c>
      <c r="B506" s="5">
        <v>97216.460741926814</v>
      </c>
      <c r="C506" s="19">
        <v>20.745311894604978</v>
      </c>
      <c r="D506" s="5">
        <v>176144.2469205384</v>
      </c>
      <c r="E506" s="6">
        <v>81.18767704178741</v>
      </c>
    </row>
    <row r="507" spans="1:5" x14ac:dyDescent="0.3">
      <c r="A507" s="4">
        <v>504</v>
      </c>
      <c r="B507" s="5">
        <v>108558.08644918885</v>
      </c>
      <c r="C507" s="19">
        <v>34.831898908409102</v>
      </c>
      <c r="D507" s="5">
        <v>157936.6485847033</v>
      </c>
      <c r="E507" s="6">
        <v>45.485844261474092</v>
      </c>
    </row>
    <row r="508" spans="1:5" x14ac:dyDescent="0.3">
      <c r="A508" s="4">
        <v>505</v>
      </c>
      <c r="B508" s="5">
        <v>47660.24288999883</v>
      </c>
      <c r="C508" s="19">
        <v>-40.804768566896918</v>
      </c>
      <c r="D508" s="5">
        <v>97107.398315364058</v>
      </c>
      <c r="E508" s="6">
        <v>103.74927282576097</v>
      </c>
    </row>
    <row r="509" spans="1:5" x14ac:dyDescent="0.3">
      <c r="A509" s="4">
        <v>506</v>
      </c>
      <c r="B509" s="5">
        <v>52516.830231729997</v>
      </c>
      <c r="C509" s="19">
        <v>-34.772763813325206</v>
      </c>
      <c r="D509" s="5">
        <v>103659.49745405772</v>
      </c>
      <c r="E509" s="6">
        <v>97.383385472164278</v>
      </c>
    </row>
    <row r="510" spans="1:5" x14ac:dyDescent="0.3">
      <c r="A510" s="4">
        <v>507</v>
      </c>
      <c r="B510" s="5">
        <v>65146.240413211846</v>
      </c>
      <c r="C510" s="19">
        <v>-19.08671579460465</v>
      </c>
      <c r="D510" s="5">
        <v>119284.9666308484</v>
      </c>
      <c r="E510" s="6">
        <v>83.103377684181851</v>
      </c>
    </row>
    <row r="511" spans="1:5" x14ac:dyDescent="0.3">
      <c r="A511" s="4">
        <v>508</v>
      </c>
      <c r="B511" s="5">
        <v>84981.740901682948</v>
      </c>
      <c r="C511" s="19">
        <v>5.5494792981582304</v>
      </c>
      <c r="D511" s="5">
        <v>166100.30571864752</v>
      </c>
      <c r="E511" s="6">
        <v>95.454110443338919</v>
      </c>
    </row>
    <row r="512" spans="1:5" x14ac:dyDescent="0.3">
      <c r="A512" s="4">
        <v>509</v>
      </c>
      <c r="B512" s="5">
        <v>64701.120445213994</v>
      </c>
      <c r="C512" s="19">
        <v>-19.639566093373428</v>
      </c>
      <c r="D512" s="5">
        <v>132898.96368811734</v>
      </c>
      <c r="E512" s="6">
        <v>105.40442387029483</v>
      </c>
    </row>
    <row r="513" spans="1:5" x14ac:dyDescent="0.3">
      <c r="A513" s="4">
        <v>510</v>
      </c>
      <c r="B513" s="5">
        <v>113678.23762723795</v>
      </c>
      <c r="C513" s="19">
        <v>41.191256636749443</v>
      </c>
      <c r="D513" s="5">
        <v>207547.39650709985</v>
      </c>
      <c r="E513" s="6">
        <v>82.574431869420835</v>
      </c>
    </row>
    <row r="514" spans="1:5" x14ac:dyDescent="0.3">
      <c r="A514" s="4">
        <v>511</v>
      </c>
      <c r="B514" s="5">
        <v>39890.592521134509</v>
      </c>
      <c r="C514" s="19">
        <v>-50.454871542677814</v>
      </c>
      <c r="D514" s="5">
        <v>85696.615584103114</v>
      </c>
      <c r="E514" s="6">
        <v>114.82913681640609</v>
      </c>
    </row>
    <row r="515" spans="1:5" x14ac:dyDescent="0.3">
      <c r="A515" s="4">
        <v>512</v>
      </c>
      <c r="B515" s="5">
        <v>72368.146092848692</v>
      </c>
      <c r="C515" s="19">
        <v>-10.116925626291154</v>
      </c>
      <c r="D515" s="5">
        <v>120853.54788386691</v>
      </c>
      <c r="E515" s="6">
        <v>66.998264303760394</v>
      </c>
    </row>
    <row r="516" spans="1:5" x14ac:dyDescent="0.3">
      <c r="A516" s="4">
        <v>513</v>
      </c>
      <c r="B516" s="5">
        <v>67239.001967881355</v>
      </c>
      <c r="C516" s="19">
        <v>-16.487452822972632</v>
      </c>
      <c r="D516" s="5">
        <v>111366.4693823438</v>
      </c>
      <c r="E516" s="6">
        <v>65.627784653230279</v>
      </c>
    </row>
    <row r="517" spans="1:5" x14ac:dyDescent="0.3">
      <c r="A517" s="4">
        <v>514</v>
      </c>
      <c r="B517" s="5">
        <v>82138.64275947721</v>
      </c>
      <c r="C517" s="19">
        <v>2.0182792389531143</v>
      </c>
      <c r="D517" s="5">
        <v>153719.35916353151</v>
      </c>
      <c r="E517" s="6">
        <v>87.146212792510838</v>
      </c>
    </row>
    <row r="518" spans="1:5" x14ac:dyDescent="0.3">
      <c r="A518" s="4">
        <v>515</v>
      </c>
      <c r="B518" s="5">
        <v>128173.32317092261</v>
      </c>
      <c r="C518" s="19">
        <v>59.194520811911545</v>
      </c>
      <c r="D518" s="5">
        <v>233419.95003033755</v>
      </c>
      <c r="E518" s="6">
        <v>82.112739418533849</v>
      </c>
    </row>
    <row r="519" spans="1:5" x14ac:dyDescent="0.3">
      <c r="A519" s="4">
        <v>516</v>
      </c>
      <c r="B519" s="5">
        <v>33565.565104019282</v>
      </c>
      <c r="C519" s="19">
        <v>-58.310716143407404</v>
      </c>
      <c r="D519" s="5">
        <v>61976.109411598314</v>
      </c>
      <c r="E519" s="6">
        <v>84.641936518974433</v>
      </c>
    </row>
    <row r="520" spans="1:5" x14ac:dyDescent="0.3">
      <c r="A520" s="4">
        <v>517</v>
      </c>
      <c r="B520" s="5">
        <v>52435.918492464712</v>
      </c>
      <c r="C520" s="19">
        <v>-34.873258247281782</v>
      </c>
      <c r="D520" s="5">
        <v>91218.77266312213</v>
      </c>
      <c r="E520" s="6">
        <v>73.96238167589398</v>
      </c>
    </row>
    <row r="521" spans="1:5" x14ac:dyDescent="0.3">
      <c r="A521" s="4">
        <v>518</v>
      </c>
      <c r="B521" s="5">
        <v>61628.399969096616</v>
      </c>
      <c r="C521" s="19">
        <v>-23.45596291981871</v>
      </c>
      <c r="D521" s="5">
        <v>101233.09199715481</v>
      </c>
      <c r="E521" s="6">
        <v>64.263703175675275</v>
      </c>
    </row>
    <row r="522" spans="1:5" x14ac:dyDescent="0.3">
      <c r="A522" s="4">
        <v>519</v>
      </c>
      <c r="B522" s="5">
        <v>40366.636234709003</v>
      </c>
      <c r="C522" s="19">
        <v>-49.863613166962963</v>
      </c>
      <c r="D522" s="5">
        <v>77609.088988313684</v>
      </c>
      <c r="E522" s="6">
        <v>92.260480999855986</v>
      </c>
    </row>
    <row r="523" spans="1:5" x14ac:dyDescent="0.3">
      <c r="A523" s="4">
        <v>520</v>
      </c>
      <c r="B523" s="5">
        <v>75395.705620846507</v>
      </c>
      <c r="C523" s="19">
        <v>-6.356619843734296</v>
      </c>
      <c r="D523" s="5">
        <v>113404.45704898798</v>
      </c>
      <c r="E523" s="6">
        <v>50.412355869817951</v>
      </c>
    </row>
    <row r="524" spans="1:5" x14ac:dyDescent="0.3">
      <c r="A524" s="4">
        <v>521</v>
      </c>
      <c r="B524" s="5">
        <v>68387.495205971019</v>
      </c>
      <c r="C524" s="19">
        <v>-15.060995068970334</v>
      </c>
      <c r="D524" s="5">
        <v>124768.25080966135</v>
      </c>
      <c r="E524" s="6">
        <v>82.443077398699103</v>
      </c>
    </row>
    <row r="525" spans="1:5" x14ac:dyDescent="0.3">
      <c r="A525" s="4">
        <v>522</v>
      </c>
      <c r="B525" s="5">
        <v>75253.153405915422</v>
      </c>
      <c r="C525" s="19">
        <v>-6.533673313092879</v>
      </c>
      <c r="D525" s="5">
        <v>144074.59280632224</v>
      </c>
      <c r="E525" s="6">
        <v>91.453229912086272</v>
      </c>
    </row>
    <row r="526" spans="1:5" x14ac:dyDescent="0.3">
      <c r="A526" s="4">
        <v>523</v>
      </c>
      <c r="B526" s="5">
        <v>49080.50793418767</v>
      </c>
      <c r="C526" s="19">
        <v>-39.040763331314139</v>
      </c>
      <c r="D526" s="5">
        <v>86561.324831680045</v>
      </c>
      <c r="E526" s="6">
        <v>76.365992274877456</v>
      </c>
    </row>
    <row r="527" spans="1:5" x14ac:dyDescent="0.3">
      <c r="A527" s="4">
        <v>524</v>
      </c>
      <c r="B527" s="5">
        <v>51117.658553802728</v>
      </c>
      <c r="C527" s="19">
        <v>-36.510570552596519</v>
      </c>
      <c r="D527" s="5">
        <v>90735.183993346363</v>
      </c>
      <c r="E527" s="6">
        <v>77.502621521377208</v>
      </c>
    </row>
    <row r="528" spans="1:5" x14ac:dyDescent="0.3">
      <c r="A528" s="4">
        <v>525</v>
      </c>
      <c r="B528" s="5">
        <v>66255.65985752191</v>
      </c>
      <c r="C528" s="19">
        <v>-17.708788684289821</v>
      </c>
      <c r="D528" s="5">
        <v>115130.94485790285</v>
      </c>
      <c r="E528" s="6">
        <v>73.76771298555289</v>
      </c>
    </row>
    <row r="529" spans="1:5" x14ac:dyDescent="0.3">
      <c r="A529" s="4">
        <v>526</v>
      </c>
      <c r="B529" s="5">
        <v>24118.189377871902</v>
      </c>
      <c r="C529" s="19">
        <v>-70.044596598769644</v>
      </c>
      <c r="D529" s="5">
        <v>56417.583428225029</v>
      </c>
      <c r="E529" s="6">
        <v>133.92130538616371</v>
      </c>
    </row>
    <row r="530" spans="1:5" x14ac:dyDescent="0.3">
      <c r="A530" s="4">
        <v>527</v>
      </c>
      <c r="B530" s="5">
        <v>70631.614681506195</v>
      </c>
      <c r="C530" s="19">
        <v>-12.273741717693049</v>
      </c>
      <c r="D530" s="5">
        <v>143910.2316115365</v>
      </c>
      <c r="E530" s="6">
        <v>103.74761678670386</v>
      </c>
    </row>
    <row r="531" spans="1:5" x14ac:dyDescent="0.3">
      <c r="A531" s="4">
        <v>528</v>
      </c>
      <c r="B531" s="5">
        <v>134492.20727103698</v>
      </c>
      <c r="C531" s="19">
        <v>67.042735256989772</v>
      </c>
      <c r="D531" s="5">
        <v>253388.64227378386</v>
      </c>
      <c r="E531" s="6">
        <v>88.403958426483001</v>
      </c>
    </row>
    <row r="532" spans="1:5" x14ac:dyDescent="0.3">
      <c r="A532" s="4">
        <v>529</v>
      </c>
      <c r="B532" s="5">
        <v>47815.273434957562</v>
      </c>
      <c r="C532" s="19">
        <v>-40.612216694905555</v>
      </c>
      <c r="D532" s="5">
        <v>95437.944398090622</v>
      </c>
      <c r="E532" s="6">
        <v>99.597194666079872</v>
      </c>
    </row>
    <row r="533" spans="1:5" x14ac:dyDescent="0.3">
      <c r="A533" s="4">
        <v>530</v>
      </c>
      <c r="B533" s="5">
        <v>43779.451249203987</v>
      </c>
      <c r="C533" s="19">
        <v>-45.62481029120606</v>
      </c>
      <c r="D533" s="5">
        <v>80595.502780522263</v>
      </c>
      <c r="E533" s="6">
        <v>84.094365006431374</v>
      </c>
    </row>
    <row r="534" spans="1:5" x14ac:dyDescent="0.3">
      <c r="A534" s="4">
        <v>531</v>
      </c>
      <c r="B534" s="5">
        <v>151910.55385706507</v>
      </c>
      <c r="C534" s="19">
        <v>88.676763848109246</v>
      </c>
      <c r="D534" s="5">
        <v>273548.51148887334</v>
      </c>
      <c r="E534" s="6">
        <v>80.07209146657398</v>
      </c>
    </row>
    <row r="535" spans="1:5" x14ac:dyDescent="0.3">
      <c r="A535" s="4">
        <v>532</v>
      </c>
      <c r="B535" s="5">
        <v>114359.15329943545</v>
      </c>
      <c r="C535" s="19">
        <v>42.036971185355235</v>
      </c>
      <c r="D535" s="5">
        <v>212176.71919202639</v>
      </c>
      <c r="E535" s="6">
        <v>85.535405842388158</v>
      </c>
    </row>
    <row r="536" spans="1:5" x14ac:dyDescent="0.3">
      <c r="A536" s="4">
        <v>533</v>
      </c>
      <c r="B536" s="5">
        <v>57233.139109047603</v>
      </c>
      <c r="C536" s="19">
        <v>-28.914988473254521</v>
      </c>
      <c r="D536" s="5">
        <v>112198.3103975449</v>
      </c>
      <c r="E536" s="6">
        <v>96.037317093110886</v>
      </c>
    </row>
    <row r="537" spans="1:5" x14ac:dyDescent="0.3">
      <c r="A537" s="4">
        <v>534</v>
      </c>
      <c r="B537" s="5">
        <v>44034.485244384588</v>
      </c>
      <c r="C537" s="19">
        <v>-45.308051595643626</v>
      </c>
      <c r="D537" s="5">
        <v>90342.849255700305</v>
      </c>
      <c r="E537" s="6">
        <v>105.1638590852407</v>
      </c>
    </row>
    <row r="538" spans="1:5" x14ac:dyDescent="0.3">
      <c r="A538" s="4">
        <v>535</v>
      </c>
      <c r="B538" s="5">
        <v>53549.649972239218</v>
      </c>
      <c r="C538" s="19">
        <v>-33.489975479467383</v>
      </c>
      <c r="D538" s="5">
        <v>113400.06835152811</v>
      </c>
      <c r="E538" s="6">
        <v>111.76621772563607</v>
      </c>
    </row>
    <row r="539" spans="1:5" x14ac:dyDescent="0.3">
      <c r="A539" s="4">
        <v>536</v>
      </c>
      <c r="B539" s="5">
        <v>74847.847707535126</v>
      </c>
      <c r="C539" s="19">
        <v>-7.0370732783878882</v>
      </c>
      <c r="D539" s="5">
        <v>144164.05731428837</v>
      </c>
      <c r="E539" s="6">
        <v>92.609489423935699</v>
      </c>
    </row>
    <row r="540" spans="1:5" x14ac:dyDescent="0.3">
      <c r="A540" s="4">
        <v>537</v>
      </c>
      <c r="B540" s="5">
        <v>88225.226301967632</v>
      </c>
      <c r="C540" s="19">
        <v>9.5779704949589171</v>
      </c>
      <c r="D540" s="5">
        <v>155141.47648024751</v>
      </c>
      <c r="E540" s="6">
        <v>75.847071164483353</v>
      </c>
    </row>
    <row r="541" spans="1:5" x14ac:dyDescent="0.3">
      <c r="A541" s="4">
        <v>538</v>
      </c>
      <c r="B541" s="5">
        <v>31919.097264925324</v>
      </c>
      <c r="C541" s="19">
        <v>-60.355670991985818</v>
      </c>
      <c r="D541" s="5">
        <v>67476.584427046473</v>
      </c>
      <c r="E541" s="6">
        <v>111.39878696129016</v>
      </c>
    </row>
    <row r="542" spans="1:5" x14ac:dyDescent="0.3">
      <c r="A542" s="4">
        <v>539</v>
      </c>
      <c r="B542" s="5">
        <v>30133.368895285326</v>
      </c>
      <c r="C542" s="19">
        <v>-62.573590954363503</v>
      </c>
      <c r="D542" s="5">
        <v>60415.573436621831</v>
      </c>
      <c r="E542" s="6">
        <v>100.49392302124727</v>
      </c>
    </row>
    <row r="543" spans="1:5" x14ac:dyDescent="0.3">
      <c r="A543" s="4">
        <v>540</v>
      </c>
      <c r="B543" s="5">
        <v>43380.981140545518</v>
      </c>
      <c r="C543" s="19">
        <v>-46.119720280558241</v>
      </c>
      <c r="D543" s="5">
        <v>72944.806242241772</v>
      </c>
      <c r="E543" s="6">
        <v>68.149277227998823</v>
      </c>
    </row>
    <row r="544" spans="1:5" x14ac:dyDescent="0.3">
      <c r="A544" s="4">
        <v>541</v>
      </c>
      <c r="B544" s="5">
        <v>29727.003556565236</v>
      </c>
      <c r="C544" s="19">
        <v>-63.078307019857469</v>
      </c>
      <c r="D544" s="5">
        <v>56257.74380020945</v>
      </c>
      <c r="E544" s="6">
        <v>89.247946545170294</v>
      </c>
    </row>
    <row r="545" spans="1:5" x14ac:dyDescent="0.3">
      <c r="A545" s="4">
        <v>542</v>
      </c>
      <c r="B545" s="5">
        <v>56390.719166394236</v>
      </c>
      <c r="C545" s="19">
        <v>-29.961295425242206</v>
      </c>
      <c r="D545" s="5">
        <v>130311.94306892357</v>
      </c>
      <c r="E545" s="6">
        <v>131.08757078342478</v>
      </c>
    </row>
    <row r="546" spans="1:5" x14ac:dyDescent="0.3">
      <c r="A546" s="4">
        <v>543</v>
      </c>
      <c r="B546" s="5">
        <v>48446.282346838634</v>
      </c>
      <c r="C546" s="19">
        <v>-39.828487609400014</v>
      </c>
      <c r="D546" s="5">
        <v>79661.050612882289</v>
      </c>
      <c r="E546" s="6">
        <v>64.431710244698635</v>
      </c>
    </row>
    <row r="547" spans="1:5" x14ac:dyDescent="0.3">
      <c r="A547" s="4">
        <v>544</v>
      </c>
      <c r="B547" s="5">
        <v>70013.913520992181</v>
      </c>
      <c r="C547" s="19">
        <v>-13.040942238208993</v>
      </c>
      <c r="D547" s="5">
        <v>126308.37894429643</v>
      </c>
      <c r="E547" s="6">
        <v>80.404683286880612</v>
      </c>
    </row>
    <row r="548" spans="1:5" x14ac:dyDescent="0.3">
      <c r="A548" s="4">
        <v>545</v>
      </c>
      <c r="B548" s="5">
        <v>67315.711119889835</v>
      </c>
      <c r="C548" s="19">
        <v>-16.392178109063611</v>
      </c>
      <c r="D548" s="5">
        <v>124271.2130804092</v>
      </c>
      <c r="E548" s="6">
        <v>84.609522818649495</v>
      </c>
    </row>
    <row r="549" spans="1:5" x14ac:dyDescent="0.3">
      <c r="A549" s="4">
        <v>546</v>
      </c>
      <c r="B549" s="5">
        <v>53200.07814291415</v>
      </c>
      <c r="C549" s="19">
        <v>-33.924152564698581</v>
      </c>
      <c r="D549" s="5">
        <v>93193.742180440284</v>
      </c>
      <c r="E549" s="6">
        <v>75.175949798586885</v>
      </c>
    </row>
    <row r="550" spans="1:5" x14ac:dyDescent="0.3">
      <c r="A550" s="4">
        <v>547</v>
      </c>
      <c r="B550" s="5">
        <v>48926.000605042602</v>
      </c>
      <c r="C550" s="19">
        <v>-39.232665355984103</v>
      </c>
      <c r="D550" s="5">
        <v>90797.135879267851</v>
      </c>
      <c r="E550" s="6">
        <v>85.580539501341875</v>
      </c>
    </row>
    <row r="551" spans="1:5" x14ac:dyDescent="0.3">
      <c r="A551" s="4">
        <v>548</v>
      </c>
      <c r="B551" s="5">
        <v>60353.172967746686</v>
      </c>
      <c r="C551" s="19">
        <v>-25.039827224683421</v>
      </c>
      <c r="D551" s="5">
        <v>124520.08175480897</v>
      </c>
      <c r="E551" s="6">
        <v>106.3190311822606</v>
      </c>
    </row>
    <row r="552" spans="1:5" x14ac:dyDescent="0.3">
      <c r="A552" s="4">
        <v>549</v>
      </c>
      <c r="B552" s="5">
        <v>98269.693260012398</v>
      </c>
      <c r="C552" s="19">
        <v>22.053453416351797</v>
      </c>
      <c r="D552" s="5">
        <v>160982.34880712643</v>
      </c>
      <c r="E552" s="6">
        <v>63.816883381514401</v>
      </c>
    </row>
    <row r="553" spans="1:5" x14ac:dyDescent="0.3">
      <c r="A553" s="4">
        <v>550</v>
      </c>
      <c r="B553" s="5">
        <v>47087.676335414762</v>
      </c>
      <c r="C553" s="19">
        <v>-41.515910761192586</v>
      </c>
      <c r="D553" s="5">
        <v>89821.133287286037</v>
      </c>
      <c r="E553" s="6">
        <v>90.752953378868114</v>
      </c>
    </row>
    <row r="554" spans="1:5" x14ac:dyDescent="0.3">
      <c r="A554" s="4">
        <v>551</v>
      </c>
      <c r="B554" s="5">
        <v>46307.133157354416</v>
      </c>
      <c r="C554" s="19">
        <v>-42.485365200932918</v>
      </c>
      <c r="D554" s="5">
        <v>91760.478844440033</v>
      </c>
      <c r="E554" s="6">
        <v>98.156250642060741</v>
      </c>
    </row>
    <row r="555" spans="1:5" x14ac:dyDescent="0.3">
      <c r="A555" s="4">
        <v>552</v>
      </c>
      <c r="B555" s="5">
        <v>115798.16985039617</v>
      </c>
      <c r="C555" s="19">
        <v>43.824266268319668</v>
      </c>
      <c r="D555" s="5">
        <v>211550.30927228485</v>
      </c>
      <c r="E555" s="6">
        <v>82.688819301370927</v>
      </c>
    </row>
    <row r="556" spans="1:5" x14ac:dyDescent="0.3">
      <c r="A556" s="4">
        <v>553</v>
      </c>
      <c r="B556" s="5">
        <v>73750.008882703434</v>
      </c>
      <c r="C556" s="19">
        <v>-8.4006169653587932</v>
      </c>
      <c r="D556" s="5">
        <v>107674.61542042783</v>
      </c>
      <c r="E556" s="6">
        <v>45.999460951496538</v>
      </c>
    </row>
    <row r="557" spans="1:5" x14ac:dyDescent="0.3">
      <c r="A557" s="4">
        <v>554</v>
      </c>
      <c r="B557" s="5">
        <v>89425.564758629713</v>
      </c>
      <c r="C557" s="19">
        <v>11.068821326419449</v>
      </c>
      <c r="D557" s="5">
        <v>168464.02082531693</v>
      </c>
      <c r="E557" s="6">
        <v>88.384631710206634</v>
      </c>
    </row>
    <row r="558" spans="1:5" x14ac:dyDescent="0.3">
      <c r="A558" s="4">
        <v>555</v>
      </c>
      <c r="B558" s="5">
        <v>84969.999968415417</v>
      </c>
      <c r="C558" s="19">
        <v>5.534896761018917</v>
      </c>
      <c r="D558" s="5">
        <v>144032.97622285271</v>
      </c>
      <c r="E558" s="6">
        <v>69.51038752076245</v>
      </c>
    </row>
    <row r="559" spans="1:5" x14ac:dyDescent="0.3">
      <c r="A559" s="4">
        <v>556</v>
      </c>
      <c r="B559" s="5">
        <v>49961.873170800114</v>
      </c>
      <c r="C559" s="19">
        <v>-37.946085335677793</v>
      </c>
      <c r="D559" s="5">
        <v>94129.244580295752</v>
      </c>
      <c r="E559" s="6">
        <v>88.402152694525</v>
      </c>
    </row>
    <row r="560" spans="1:5" x14ac:dyDescent="0.3">
      <c r="A560" s="4">
        <v>557</v>
      </c>
      <c r="B560" s="5">
        <v>47394.615154268904</v>
      </c>
      <c r="C560" s="19">
        <v>-41.134684957123362</v>
      </c>
      <c r="D560" s="5">
        <v>83526.111849781926</v>
      </c>
      <c r="E560" s="6">
        <v>76.235446955113844</v>
      </c>
    </row>
    <row r="561" spans="1:5" x14ac:dyDescent="0.3">
      <c r="A561" s="4">
        <v>558</v>
      </c>
      <c r="B561" s="5">
        <v>48241.535325070239</v>
      </c>
      <c r="C561" s="19">
        <v>-40.082788607546249</v>
      </c>
      <c r="D561" s="5">
        <v>78935.061838486145</v>
      </c>
      <c r="E561" s="6">
        <v>63.624688365722562</v>
      </c>
    </row>
    <row r="562" spans="1:5" x14ac:dyDescent="0.3">
      <c r="A562" s="4">
        <v>559</v>
      </c>
      <c r="B562" s="5">
        <v>100187.91216223396</v>
      </c>
      <c r="C562" s="19">
        <v>24.435929983213477</v>
      </c>
      <c r="D562" s="5">
        <v>171844.54325815983</v>
      </c>
      <c r="E562" s="6">
        <v>71.522232123065422</v>
      </c>
    </row>
    <row r="563" spans="1:5" x14ac:dyDescent="0.3">
      <c r="A563" s="4">
        <v>560</v>
      </c>
      <c r="B563" s="5">
        <v>61052.333441627634</v>
      </c>
      <c r="C563" s="19">
        <v>-24.171452169277533</v>
      </c>
      <c r="D563" s="5">
        <v>110878.33804566151</v>
      </c>
      <c r="E563" s="6">
        <v>81.61195779956995</v>
      </c>
    </row>
    <row r="564" spans="1:5" x14ac:dyDescent="0.3">
      <c r="A564" s="4">
        <v>561</v>
      </c>
      <c r="B564" s="5">
        <v>52605.057225200151</v>
      </c>
      <c r="C564" s="19">
        <v>-34.663183647962505</v>
      </c>
      <c r="D564" s="5">
        <v>90777.362150178582</v>
      </c>
      <c r="E564" s="6">
        <v>72.56394525257204</v>
      </c>
    </row>
    <row r="565" spans="1:5" x14ac:dyDescent="0.3">
      <c r="A565" s="4">
        <v>562</v>
      </c>
      <c r="B565" s="5">
        <v>56029.941302082698</v>
      </c>
      <c r="C565" s="19">
        <v>-30.409390690370273</v>
      </c>
      <c r="D565" s="5">
        <v>106885.03387162012</v>
      </c>
      <c r="E565" s="6">
        <v>90.764136794923047</v>
      </c>
    </row>
    <row r="566" spans="1:5" x14ac:dyDescent="0.3">
      <c r="A566" s="4">
        <v>563</v>
      </c>
      <c r="B566" s="5">
        <v>55498.217575113704</v>
      </c>
      <c r="C566" s="19">
        <v>-31.06980505605129</v>
      </c>
      <c r="D566" s="5">
        <v>100929.70562839726</v>
      </c>
      <c r="E566" s="6">
        <v>81.861166066810355</v>
      </c>
    </row>
    <row r="567" spans="1:5" x14ac:dyDescent="0.3">
      <c r="A567" s="4">
        <v>564</v>
      </c>
      <c r="B567" s="5">
        <v>53759.635561426439</v>
      </c>
      <c r="C567" s="19">
        <v>-33.229168047615985</v>
      </c>
      <c r="D567" s="5">
        <v>103749.20349997711</v>
      </c>
      <c r="E567" s="6">
        <v>92.987177864016516</v>
      </c>
    </row>
    <row r="568" spans="1:5" x14ac:dyDescent="0.3">
      <c r="A568" s="4">
        <v>565</v>
      </c>
      <c r="B568" s="5">
        <v>77067.106774758271</v>
      </c>
      <c r="C568" s="19">
        <v>-4.2806971852678597</v>
      </c>
      <c r="D568" s="5">
        <v>151567.17967111102</v>
      </c>
      <c r="E568" s="6">
        <v>96.669092709152665</v>
      </c>
    </row>
    <row r="569" spans="1:5" x14ac:dyDescent="0.3">
      <c r="A569" s="4">
        <v>566</v>
      </c>
      <c r="B569" s="5">
        <v>52785.487341899599</v>
      </c>
      <c r="C569" s="19">
        <v>-34.43908486314983</v>
      </c>
      <c r="D569" s="5">
        <v>99049.05628227038</v>
      </c>
      <c r="E569" s="6">
        <v>87.64448576692044</v>
      </c>
    </row>
    <row r="570" spans="1:5" x14ac:dyDescent="0.3">
      <c r="A570" s="4">
        <v>567</v>
      </c>
      <c r="B570" s="5">
        <v>41881.947782960808</v>
      </c>
      <c r="C570" s="19">
        <v>-47.981557760761035</v>
      </c>
      <c r="D570" s="5">
        <v>81333.405126461235</v>
      </c>
      <c r="E570" s="6">
        <v>94.196806576294918</v>
      </c>
    </row>
    <row r="571" spans="1:5" x14ac:dyDescent="0.3">
      <c r="A571" s="4">
        <v>568</v>
      </c>
      <c r="B571" s="5">
        <v>42830.311573067353</v>
      </c>
      <c r="C571" s="19">
        <v>-46.803665861055421</v>
      </c>
      <c r="D571" s="5">
        <v>80066.865949243191</v>
      </c>
      <c r="E571" s="6">
        <v>86.939723314062945</v>
      </c>
    </row>
    <row r="572" spans="1:5" x14ac:dyDescent="0.3">
      <c r="A572" s="4">
        <v>569</v>
      </c>
      <c r="B572" s="5">
        <v>31154.354464249795</v>
      </c>
      <c r="C572" s="19">
        <v>-61.305500961951978</v>
      </c>
      <c r="D572" s="5">
        <v>68322.58738382085</v>
      </c>
      <c r="E572" s="6">
        <v>119.30349242903524</v>
      </c>
    </row>
    <row r="573" spans="1:5" x14ac:dyDescent="0.3">
      <c r="A573" s="4">
        <v>570</v>
      </c>
      <c r="B573" s="5">
        <v>59363.896619187704</v>
      </c>
      <c r="C573" s="19">
        <v>-26.268533560473671</v>
      </c>
      <c r="D573" s="5">
        <v>98311.453084124034</v>
      </c>
      <c r="E573" s="6">
        <v>65.608153579911104</v>
      </c>
    </row>
    <row r="574" spans="1:5" x14ac:dyDescent="0.3">
      <c r="A574" s="4">
        <v>571</v>
      </c>
      <c r="B574" s="5">
        <v>96177.48919213975</v>
      </c>
      <c r="C574" s="19">
        <v>19.45488285747221</v>
      </c>
      <c r="D574" s="5">
        <v>157921.27459619154</v>
      </c>
      <c r="E574" s="6">
        <v>64.197751389311478</v>
      </c>
    </row>
    <row r="575" spans="1:5" x14ac:dyDescent="0.3">
      <c r="A575" s="4">
        <v>572</v>
      </c>
      <c r="B575" s="5">
        <v>59145.650759442717</v>
      </c>
      <c r="C575" s="19">
        <v>-26.539600458028911</v>
      </c>
      <c r="D575" s="5">
        <v>103076.52473780655</v>
      </c>
      <c r="E575" s="6">
        <v>74.275747099376005</v>
      </c>
    </row>
    <row r="576" spans="1:5" x14ac:dyDescent="0.3">
      <c r="A576" s="4">
        <v>573</v>
      </c>
      <c r="B576" s="5">
        <v>51257.754084384746</v>
      </c>
      <c r="C576" s="19">
        <v>-36.336568347557694</v>
      </c>
      <c r="D576" s="5">
        <v>91246.433763608045</v>
      </c>
      <c r="E576" s="6">
        <v>78.014888466222359</v>
      </c>
    </row>
    <row r="577" spans="1:5" x14ac:dyDescent="0.3">
      <c r="A577" s="4">
        <v>574</v>
      </c>
      <c r="B577" s="5">
        <v>83540.013505103576</v>
      </c>
      <c r="C577" s="19">
        <v>3.7588172761258196</v>
      </c>
      <c r="D577" s="5">
        <v>133535.15261038317</v>
      </c>
      <c r="E577" s="6">
        <v>59.845739792973959</v>
      </c>
    </row>
    <row r="578" spans="1:5" x14ac:dyDescent="0.3">
      <c r="A578" s="4">
        <v>575</v>
      </c>
      <c r="B578" s="5">
        <v>73610.229298052145</v>
      </c>
      <c r="C578" s="19">
        <v>-8.5742267575319762</v>
      </c>
      <c r="D578" s="5">
        <v>148398.92295186408</v>
      </c>
      <c r="E578" s="6">
        <v>101.60095188806994</v>
      </c>
    </row>
    <row r="579" spans="1:5" x14ac:dyDescent="0.3">
      <c r="A579" s="4">
        <v>576</v>
      </c>
      <c r="B579" s="5">
        <v>152443.74576248197</v>
      </c>
      <c r="C579" s="19">
        <v>89.339001728689453</v>
      </c>
      <c r="D579" s="5">
        <v>283532.44563570322</v>
      </c>
      <c r="E579" s="6">
        <v>85.991523769998821</v>
      </c>
    </row>
    <row r="580" spans="1:5" x14ac:dyDescent="0.3">
      <c r="A580" s="4">
        <v>577</v>
      </c>
      <c r="B580" s="5">
        <v>30145.439001878163</v>
      </c>
      <c r="C580" s="19">
        <v>-62.558599575598727</v>
      </c>
      <c r="D580" s="5">
        <v>61524.302614714652</v>
      </c>
      <c r="E580" s="6">
        <v>104.09157952843707</v>
      </c>
    </row>
    <row r="581" spans="1:5" x14ac:dyDescent="0.3">
      <c r="A581" s="4">
        <v>578</v>
      </c>
      <c r="B581" s="5">
        <v>21262.893791270511</v>
      </c>
      <c r="C581" s="19">
        <v>-73.590946193522853</v>
      </c>
      <c r="D581" s="5">
        <v>51758.684945590045</v>
      </c>
      <c r="E581" s="6">
        <v>143.42258139312904</v>
      </c>
    </row>
    <row r="582" spans="1:5" x14ac:dyDescent="0.3">
      <c r="A582" s="4">
        <v>579</v>
      </c>
      <c r="B582" s="5">
        <v>55816.56828256978</v>
      </c>
      <c r="C582" s="19">
        <v>-30.674405396669592</v>
      </c>
      <c r="D582" s="5">
        <v>109090.49106911654</v>
      </c>
      <c r="E582" s="6">
        <v>95.444640230924009</v>
      </c>
    </row>
    <row r="583" spans="1:5" x14ac:dyDescent="0.3">
      <c r="A583" s="4">
        <v>580</v>
      </c>
      <c r="B583" s="5">
        <v>46944.269744251476</v>
      </c>
      <c r="C583" s="19">
        <v>-41.694025387518266</v>
      </c>
      <c r="D583" s="5">
        <v>87827.419282826246</v>
      </c>
      <c r="E583" s="6">
        <v>87.088689974948608</v>
      </c>
    </row>
    <row r="584" spans="1:5" x14ac:dyDescent="0.3">
      <c r="A584" s="4">
        <v>581</v>
      </c>
      <c r="B584" s="5">
        <v>50445.009372675508</v>
      </c>
      <c r="C584" s="19">
        <v>-37.346017909464031</v>
      </c>
      <c r="D584" s="5">
        <v>112109.51932632278</v>
      </c>
      <c r="E584" s="6">
        <v>122.24105163324445</v>
      </c>
    </row>
    <row r="585" spans="1:5" x14ac:dyDescent="0.3">
      <c r="A585" s="4">
        <v>582</v>
      </c>
      <c r="B585" s="5">
        <v>114150.87962563806</v>
      </c>
      <c r="C585" s="19">
        <v>41.778289995871702</v>
      </c>
      <c r="D585" s="5">
        <v>200714.52261106539</v>
      </c>
      <c r="E585" s="6">
        <v>75.832655227288598</v>
      </c>
    </row>
    <row r="586" spans="1:5" x14ac:dyDescent="0.3">
      <c r="A586" s="4">
        <v>583</v>
      </c>
      <c r="B586" s="5">
        <v>53599.434511413012</v>
      </c>
      <c r="C586" s="19">
        <v>-33.428141818128623</v>
      </c>
      <c r="D586" s="5">
        <v>104679.6956734687</v>
      </c>
      <c r="E586" s="6">
        <v>95.300000135596747</v>
      </c>
    </row>
    <row r="587" spans="1:5" x14ac:dyDescent="0.3">
      <c r="A587" s="4">
        <v>584</v>
      </c>
      <c r="B587" s="5">
        <v>104504.99019693457</v>
      </c>
      <c r="C587" s="19">
        <v>29.797850483045714</v>
      </c>
      <c r="D587" s="5">
        <v>194287.36666786831</v>
      </c>
      <c r="E587" s="6">
        <v>85.912047168028266</v>
      </c>
    </row>
    <row r="588" spans="1:5" x14ac:dyDescent="0.3">
      <c r="A588" s="4">
        <v>585</v>
      </c>
      <c r="B588" s="5">
        <v>60057.150051367556</v>
      </c>
      <c r="C588" s="19">
        <v>-25.407495200799456</v>
      </c>
      <c r="D588" s="5">
        <v>120737.76144928674</v>
      </c>
      <c r="E588" s="6">
        <v>101.03811344031206</v>
      </c>
    </row>
    <row r="589" spans="1:5" x14ac:dyDescent="0.3">
      <c r="A589" s="4">
        <v>586</v>
      </c>
      <c r="B589" s="5">
        <v>92665.179905940939</v>
      </c>
      <c r="C589" s="19">
        <v>15.092505570788164</v>
      </c>
      <c r="D589" s="5">
        <v>191905.11113819494</v>
      </c>
      <c r="E589" s="6">
        <v>107.09516922428331</v>
      </c>
    </row>
    <row r="590" spans="1:5" x14ac:dyDescent="0.3">
      <c r="A590" s="4">
        <v>587</v>
      </c>
      <c r="B590" s="5">
        <v>61607.092493000229</v>
      </c>
      <c r="C590" s="19">
        <v>-23.482427345979779</v>
      </c>
      <c r="D590" s="5">
        <v>127273.02223095449</v>
      </c>
      <c r="E590" s="6">
        <v>106.58826294296422</v>
      </c>
    </row>
    <row r="591" spans="1:5" x14ac:dyDescent="0.3">
      <c r="A591" s="4">
        <v>588</v>
      </c>
      <c r="B591" s="5">
        <v>166194.70664415191</v>
      </c>
      <c r="C591" s="19">
        <v>106.41804418545398</v>
      </c>
      <c r="D591" s="5">
        <v>328741.09921244573</v>
      </c>
      <c r="E591" s="6">
        <v>97.804795261217507</v>
      </c>
    </row>
    <row r="592" spans="1:5" x14ac:dyDescent="0.3">
      <c r="A592" s="4">
        <v>589</v>
      </c>
      <c r="B592" s="5">
        <v>67360.467372807238</v>
      </c>
      <c r="C592" s="19">
        <v>-16.336589706888681</v>
      </c>
      <c r="D592" s="5">
        <v>137853.78971891603</v>
      </c>
      <c r="E592" s="6">
        <v>104.65088069529378</v>
      </c>
    </row>
    <row r="593" spans="1:5" x14ac:dyDescent="0.3">
      <c r="A593" s="4">
        <v>590</v>
      </c>
      <c r="B593" s="5">
        <v>52398.910442132219</v>
      </c>
      <c r="C593" s="19">
        <v>-34.919223185173017</v>
      </c>
      <c r="D593" s="5">
        <v>82537.266035255059</v>
      </c>
      <c r="E593" s="6">
        <v>57.517141747454339</v>
      </c>
    </row>
    <row r="594" spans="1:5" x14ac:dyDescent="0.3">
      <c r="A594" s="4">
        <v>591</v>
      </c>
      <c r="B594" s="5">
        <v>46400.861366916521</v>
      </c>
      <c r="C594" s="19">
        <v>-42.368952385546208</v>
      </c>
      <c r="D594" s="5">
        <v>98447.306182906206</v>
      </c>
      <c r="E594" s="6">
        <v>112.16697984209927</v>
      </c>
    </row>
    <row r="595" spans="1:5" x14ac:dyDescent="0.3">
      <c r="A595" s="4">
        <v>592</v>
      </c>
      <c r="B595" s="5">
        <v>96337.446680974957</v>
      </c>
      <c r="C595" s="19">
        <v>19.653554118819162</v>
      </c>
      <c r="D595" s="5">
        <v>148069.88191466176</v>
      </c>
      <c r="E595" s="6">
        <v>53.699196954015903</v>
      </c>
    </row>
    <row r="596" spans="1:5" x14ac:dyDescent="0.3">
      <c r="A596" s="4">
        <v>593</v>
      </c>
      <c r="B596" s="5">
        <v>56524.856804745592</v>
      </c>
      <c r="C596" s="19">
        <v>-29.79469307358351</v>
      </c>
      <c r="D596" s="5">
        <v>109879.38071678825</v>
      </c>
      <c r="E596" s="6">
        <v>94.391258869254187</v>
      </c>
    </row>
    <row r="597" spans="1:5" x14ac:dyDescent="0.3">
      <c r="A597" s="4">
        <v>594</v>
      </c>
      <c r="B597" s="5">
        <v>151602.50639811225</v>
      </c>
      <c r="C597" s="19">
        <v>88.294161084896771</v>
      </c>
      <c r="D597" s="5">
        <v>279468.23953534861</v>
      </c>
      <c r="E597" s="6">
        <v>84.342756709745629</v>
      </c>
    </row>
    <row r="598" spans="1:5" x14ac:dyDescent="0.3">
      <c r="A598" s="4">
        <v>595</v>
      </c>
      <c r="B598" s="5">
        <v>57241.519591941695</v>
      </c>
      <c r="C598" s="19">
        <v>-28.904579700777592</v>
      </c>
      <c r="D598" s="5">
        <v>116578.6037361139</v>
      </c>
      <c r="E598" s="6">
        <v>103.66091705316209</v>
      </c>
    </row>
    <row r="599" spans="1:5" x14ac:dyDescent="0.3">
      <c r="A599" s="4">
        <v>596</v>
      </c>
      <c r="B599" s="5">
        <v>81232.500690299377</v>
      </c>
      <c r="C599" s="19">
        <v>0.89282778835825061</v>
      </c>
      <c r="D599" s="5">
        <v>166442.05338356117</v>
      </c>
      <c r="E599" s="6">
        <v>104.8958876917073</v>
      </c>
    </row>
    <row r="600" spans="1:5" x14ac:dyDescent="0.3">
      <c r="A600" s="4">
        <v>597</v>
      </c>
      <c r="B600" s="5">
        <v>23012.517832075828</v>
      </c>
      <c r="C600" s="19">
        <v>-71.417868723996889</v>
      </c>
      <c r="D600" s="5">
        <v>46237.308248211564</v>
      </c>
      <c r="E600" s="6">
        <v>100.92242224692178</v>
      </c>
    </row>
    <row r="601" spans="1:5" x14ac:dyDescent="0.3">
      <c r="A601" s="4">
        <v>598</v>
      </c>
      <c r="B601" s="5">
        <v>49101.248917936515</v>
      </c>
      <c r="C601" s="19">
        <v>-39.015002503028043</v>
      </c>
      <c r="D601" s="5">
        <v>88006.549352589645</v>
      </c>
      <c r="E601" s="6">
        <v>79.234848994729262</v>
      </c>
    </row>
    <row r="602" spans="1:5" x14ac:dyDescent="0.3">
      <c r="A602" s="4">
        <v>599</v>
      </c>
      <c r="B602" s="5">
        <v>44534.987529008096</v>
      </c>
      <c r="C602" s="19">
        <v>-44.686415053852052</v>
      </c>
      <c r="D602" s="5">
        <v>96364.294577287961</v>
      </c>
      <c r="E602" s="6">
        <v>116.37885160408</v>
      </c>
    </row>
    <row r="603" spans="1:5" x14ac:dyDescent="0.3">
      <c r="A603" s="4">
        <v>600</v>
      </c>
      <c r="B603" s="5">
        <v>38271.235303584137</v>
      </c>
      <c r="C603" s="19">
        <v>-52.466154311148038</v>
      </c>
      <c r="D603" s="5">
        <v>75834.561120846469</v>
      </c>
      <c r="E603" s="6">
        <v>98.150283154681688</v>
      </c>
    </row>
    <row r="604" spans="1:5" x14ac:dyDescent="0.3">
      <c r="A604" s="4">
        <v>601</v>
      </c>
      <c r="B604" s="5">
        <v>48398.858481063195</v>
      </c>
      <c r="C604" s="19">
        <v>-39.887389254456856</v>
      </c>
      <c r="D604" s="5">
        <v>82413.428537010972</v>
      </c>
      <c r="E604" s="6">
        <v>70.279694859449023</v>
      </c>
    </row>
    <row r="605" spans="1:5" x14ac:dyDescent="0.3">
      <c r="A605" s="4">
        <v>602</v>
      </c>
      <c r="B605" s="5">
        <v>76160.250764780372</v>
      </c>
      <c r="C605" s="19">
        <v>-5.4070353684584216</v>
      </c>
      <c r="D605" s="5">
        <v>143489.68627762113</v>
      </c>
      <c r="E605" s="6">
        <v>88.404955126508938</v>
      </c>
    </row>
    <row r="606" spans="1:5" x14ac:dyDescent="0.3">
      <c r="A606" s="4">
        <v>603</v>
      </c>
      <c r="B606" s="5">
        <v>183418.31801947491</v>
      </c>
      <c r="C606" s="19">
        <v>127.81020670189844</v>
      </c>
      <c r="D606" s="5">
        <v>288818.41250970302</v>
      </c>
      <c r="E606" s="6">
        <v>57.464322881336741</v>
      </c>
    </row>
    <row r="607" spans="1:5" x14ac:dyDescent="0.3">
      <c r="A607" s="4">
        <v>604</v>
      </c>
      <c r="B607" s="5">
        <v>112239.44943945545</v>
      </c>
      <c r="C607" s="19">
        <v>39.404245186648915</v>
      </c>
      <c r="D607" s="5">
        <v>236750.35719991496</v>
      </c>
      <c r="E607" s="6">
        <v>110.93328449336664</v>
      </c>
    </row>
    <row r="608" spans="1:5" x14ac:dyDescent="0.3">
      <c r="A608" s="4">
        <v>605</v>
      </c>
      <c r="B608" s="5">
        <v>62794.053305113703</v>
      </c>
      <c r="C608" s="19">
        <v>-22.00819188861443</v>
      </c>
      <c r="D608" s="5">
        <v>112119.23477083226</v>
      </c>
      <c r="E608" s="6">
        <v>78.55072076021203</v>
      </c>
    </row>
    <row r="609" spans="1:5" x14ac:dyDescent="0.3">
      <c r="A609" s="4">
        <v>606</v>
      </c>
      <c r="B609" s="5">
        <v>51139.505968592806</v>
      </c>
      <c r="C609" s="19">
        <v>-36.483435508872581</v>
      </c>
      <c r="D609" s="5">
        <v>95497.968027492519</v>
      </c>
      <c r="E609" s="6">
        <v>86.740106731070782</v>
      </c>
    </row>
    <row r="610" spans="1:5" x14ac:dyDescent="0.3">
      <c r="A610" s="4">
        <v>607</v>
      </c>
      <c r="B610" s="5">
        <v>59520.048024892574</v>
      </c>
      <c r="C610" s="19">
        <v>-26.074589550984712</v>
      </c>
      <c r="D610" s="5">
        <v>124621.16966983903</v>
      </c>
      <c r="E610" s="6">
        <v>109.37679623127951</v>
      </c>
    </row>
    <row r="611" spans="1:5" x14ac:dyDescent="0.3">
      <c r="A611" s="4">
        <v>608</v>
      </c>
      <c r="B611" s="5">
        <v>86727.545976855865</v>
      </c>
      <c r="C611" s="19">
        <v>7.7178135154316516</v>
      </c>
      <c r="D611" s="5">
        <v>159451.96952483221</v>
      </c>
      <c r="E611" s="6">
        <v>83.853892934297491</v>
      </c>
    </row>
    <row r="612" spans="1:5" x14ac:dyDescent="0.3">
      <c r="A612" s="4">
        <v>609</v>
      </c>
      <c r="B612" s="5">
        <v>55704.892433515335</v>
      </c>
      <c r="C612" s="19">
        <v>-30.813109635872145</v>
      </c>
      <c r="D612" s="5">
        <v>85700.317652668804</v>
      </c>
      <c r="E612" s="6">
        <v>53.847021165965771</v>
      </c>
    </row>
    <row r="613" spans="1:5" x14ac:dyDescent="0.3">
      <c r="A613" s="4">
        <v>610</v>
      </c>
      <c r="B613" s="5">
        <v>19708.308133071656</v>
      </c>
      <c r="C613" s="19">
        <v>-75.52178104117688</v>
      </c>
      <c r="D613" s="5">
        <v>45570.844833236071</v>
      </c>
      <c r="E613" s="6">
        <v>131.22656965549274</v>
      </c>
    </row>
    <row r="614" spans="1:5" x14ac:dyDescent="0.3">
      <c r="A614" s="4">
        <v>611</v>
      </c>
      <c r="B614" s="5">
        <v>62944.249552961184</v>
      </c>
      <c r="C614" s="19">
        <v>-21.821644336344587</v>
      </c>
      <c r="D614" s="5">
        <v>116394.83807113707</v>
      </c>
      <c r="E614" s="6">
        <v>84.917349714691014</v>
      </c>
    </row>
    <row r="615" spans="1:5" x14ac:dyDescent="0.3">
      <c r="A615" s="4">
        <v>612</v>
      </c>
      <c r="B615" s="5">
        <v>62920.22813440983</v>
      </c>
      <c r="C615" s="19">
        <v>-21.851479547922942</v>
      </c>
      <c r="D615" s="5">
        <v>132624.13233156007</v>
      </c>
      <c r="E615" s="6">
        <v>110.78139139649838</v>
      </c>
    </row>
    <row r="616" spans="1:5" x14ac:dyDescent="0.3">
      <c r="A616" s="4">
        <v>613</v>
      </c>
      <c r="B616" s="5">
        <v>31012.428325601522</v>
      </c>
      <c r="C616" s="19">
        <v>-61.481776828675571</v>
      </c>
      <c r="D616" s="5">
        <v>66497.570883969558</v>
      </c>
      <c r="E616" s="6">
        <v>114.42232831885073</v>
      </c>
    </row>
    <row r="617" spans="1:5" x14ac:dyDescent="0.3">
      <c r="A617" s="4">
        <v>614</v>
      </c>
      <c r="B617" s="5">
        <v>50403.215738307597</v>
      </c>
      <c r="C617" s="19">
        <v>-37.397926664200106</v>
      </c>
      <c r="D617" s="5">
        <v>94495.607772635878</v>
      </c>
      <c r="E617" s="6">
        <v>87.479323270275103</v>
      </c>
    </row>
    <row r="618" spans="1:5" x14ac:dyDescent="0.3">
      <c r="A618" s="4">
        <v>615</v>
      </c>
      <c r="B618" s="5">
        <v>74554.000806746553</v>
      </c>
      <c r="C618" s="19">
        <v>-7.4020385879064783</v>
      </c>
      <c r="D618" s="5">
        <v>147107.73556178133</v>
      </c>
      <c r="E618" s="6">
        <v>97.317023861808948</v>
      </c>
    </row>
    <row r="619" spans="1:5" x14ac:dyDescent="0.3">
      <c r="A619" s="4">
        <v>616</v>
      </c>
      <c r="B619" s="5">
        <v>49610.589267396179</v>
      </c>
      <c r="C619" s="19">
        <v>-38.382388860372657</v>
      </c>
      <c r="D619" s="5">
        <v>100474.130047431</v>
      </c>
      <c r="E619" s="6">
        <v>102.52557272780084</v>
      </c>
    </row>
    <row r="620" spans="1:5" x14ac:dyDescent="0.3">
      <c r="A620" s="4">
        <v>617</v>
      </c>
      <c r="B620" s="5">
        <v>97682.472091193878</v>
      </c>
      <c r="C620" s="19">
        <v>21.324109819197705</v>
      </c>
      <c r="D620" s="5">
        <v>177669.008220452</v>
      </c>
      <c r="E620" s="6">
        <v>81.884225917813296</v>
      </c>
    </row>
    <row r="621" spans="1:5" x14ac:dyDescent="0.3">
      <c r="A621" s="4">
        <v>618</v>
      </c>
      <c r="B621" s="5">
        <v>55493.280657953379</v>
      </c>
      <c r="C621" s="19">
        <v>-31.075936832478572</v>
      </c>
      <c r="D621" s="5">
        <v>109442.38698339308</v>
      </c>
      <c r="E621" s="6">
        <v>97.217367014158739</v>
      </c>
    </row>
    <row r="622" spans="1:5" x14ac:dyDescent="0.3">
      <c r="A622" s="4">
        <v>619</v>
      </c>
      <c r="B622" s="5">
        <v>45262.817177832294</v>
      </c>
      <c r="C622" s="19">
        <v>-43.782432155454707</v>
      </c>
      <c r="D622" s="5">
        <v>87578.127438883748</v>
      </c>
      <c r="E622" s="6">
        <v>93.488017095355701</v>
      </c>
    </row>
    <row r="623" spans="1:5" x14ac:dyDescent="0.3">
      <c r="A623" s="4">
        <v>620</v>
      </c>
      <c r="B623" s="5">
        <v>33795.855876306385</v>
      </c>
      <c r="C623" s="19">
        <v>-58.024689158737885</v>
      </c>
      <c r="D623" s="5">
        <v>67373.489123090796</v>
      </c>
      <c r="E623" s="6">
        <v>99.354291750087128</v>
      </c>
    </row>
    <row r="624" spans="1:5" x14ac:dyDescent="0.3">
      <c r="A624" s="4">
        <v>621</v>
      </c>
      <c r="B624" s="5">
        <v>52872.645075607397</v>
      </c>
      <c r="C624" s="19">
        <v>-34.330832745553074</v>
      </c>
      <c r="D624" s="5">
        <v>106718.23230056511</v>
      </c>
      <c r="E624" s="6">
        <v>101.84016167142578</v>
      </c>
    </row>
    <row r="625" spans="1:5" x14ac:dyDescent="0.3">
      <c r="A625" s="4">
        <v>622</v>
      </c>
      <c r="B625" s="5">
        <v>49209.931468306699</v>
      </c>
      <c r="C625" s="19">
        <v>-38.880016016770476</v>
      </c>
      <c r="D625" s="5">
        <v>93209.670510982076</v>
      </c>
      <c r="E625" s="6">
        <v>89.412315217331866</v>
      </c>
    </row>
    <row r="626" spans="1:5" x14ac:dyDescent="0.3">
      <c r="A626" s="4">
        <v>623</v>
      </c>
      <c r="B626" s="5">
        <v>39116.030330269336</v>
      </c>
      <c r="C626" s="19">
        <v>-51.416897444505871</v>
      </c>
      <c r="D626" s="5">
        <v>72856.08718010888</v>
      </c>
      <c r="E626" s="6">
        <v>86.256341875597542</v>
      </c>
    </row>
    <row r="627" spans="1:5" x14ac:dyDescent="0.3">
      <c r="A627" s="4">
        <v>624</v>
      </c>
      <c r="B627" s="5">
        <v>137971.6220292566</v>
      </c>
      <c r="C627" s="19">
        <v>71.364256704959246</v>
      </c>
      <c r="D627" s="5">
        <v>195401.40893662532</v>
      </c>
      <c r="E627" s="6">
        <v>41.624347139436289</v>
      </c>
    </row>
    <row r="628" spans="1:5" x14ac:dyDescent="0.3">
      <c r="A628" s="4">
        <v>625</v>
      </c>
      <c r="B628" s="5">
        <v>96897.949486245081</v>
      </c>
      <c r="C628" s="19">
        <v>20.349712830251807</v>
      </c>
      <c r="D628" s="5">
        <v>162918.72712113836</v>
      </c>
      <c r="E628" s="6">
        <v>68.134339255822027</v>
      </c>
    </row>
    <row r="629" spans="1:5" x14ac:dyDescent="0.3">
      <c r="A629" s="4">
        <v>626</v>
      </c>
      <c r="B629" s="5">
        <v>45999.232588557323</v>
      </c>
      <c r="C629" s="19">
        <v>-42.867785522843462</v>
      </c>
      <c r="D629" s="5">
        <v>85391.988360888019</v>
      </c>
      <c r="E629" s="6">
        <v>85.637854276138427</v>
      </c>
    </row>
    <row r="630" spans="1:5" x14ac:dyDescent="0.3">
      <c r="A630" s="4">
        <v>627</v>
      </c>
      <c r="B630" s="5">
        <v>54047.205646576338</v>
      </c>
      <c r="C630" s="19">
        <v>-32.871998702445545</v>
      </c>
      <c r="D630" s="5">
        <v>103522.08294939253</v>
      </c>
      <c r="E630" s="6">
        <v>91.540120735085978</v>
      </c>
    </row>
    <row r="631" spans="1:5" x14ac:dyDescent="0.3">
      <c r="A631" s="4">
        <v>628</v>
      </c>
      <c r="B631" s="5">
        <v>38453.284024066532</v>
      </c>
      <c r="C631" s="19">
        <v>-52.240045179351803</v>
      </c>
      <c r="D631" s="5">
        <v>70489.715783207939</v>
      </c>
      <c r="E631" s="6">
        <v>83.312602739185948</v>
      </c>
    </row>
    <row r="632" spans="1:5" x14ac:dyDescent="0.3">
      <c r="A632" s="4">
        <v>629</v>
      </c>
      <c r="B632" s="5">
        <v>57493.255218585204</v>
      </c>
      <c r="C632" s="19">
        <v>-28.591917662660986</v>
      </c>
      <c r="D632" s="5">
        <v>104742.68496625016</v>
      </c>
      <c r="E632" s="6">
        <v>82.182561359634349</v>
      </c>
    </row>
    <row r="633" spans="1:5" x14ac:dyDescent="0.3">
      <c r="A633" s="4">
        <v>630</v>
      </c>
      <c r="B633" s="5">
        <v>90896.390492301565</v>
      </c>
      <c r="C633" s="19">
        <v>12.895624221726118</v>
      </c>
      <c r="D633" s="5">
        <v>178131.1542226107</v>
      </c>
      <c r="E633" s="6">
        <v>95.971647782534831</v>
      </c>
    </row>
    <row r="634" spans="1:5" x14ac:dyDescent="0.3">
      <c r="A634" s="4">
        <v>631</v>
      </c>
      <c r="B634" s="5">
        <v>90773.270527004221</v>
      </c>
      <c r="C634" s="19">
        <v>12.742706099662977</v>
      </c>
      <c r="D634" s="5">
        <v>150849.48259664842</v>
      </c>
      <c r="E634" s="6">
        <v>66.182711849929518</v>
      </c>
    </row>
    <row r="635" spans="1:5" x14ac:dyDescent="0.3">
      <c r="A635" s="4">
        <v>632</v>
      </c>
      <c r="B635" s="5">
        <v>86615.956170861478</v>
      </c>
      <c r="C635" s="19">
        <v>7.5792161438937287</v>
      </c>
      <c r="D635" s="5">
        <v>158216.13894726077</v>
      </c>
      <c r="E635" s="6">
        <v>82.663963941191639</v>
      </c>
    </row>
    <row r="636" spans="1:5" x14ac:dyDescent="0.3">
      <c r="A636" s="4">
        <v>633</v>
      </c>
      <c r="B636" s="5">
        <v>70083.456589072346</v>
      </c>
      <c r="C636" s="19">
        <v>-12.954567982436217</v>
      </c>
      <c r="D636" s="5">
        <v>138864.18203400579</v>
      </c>
      <c r="E636" s="6">
        <v>98.141171672257343</v>
      </c>
    </row>
    <row r="637" spans="1:5" x14ac:dyDescent="0.3">
      <c r="A637" s="4">
        <v>634</v>
      </c>
      <c r="B637" s="5">
        <v>58733.294462303784</v>
      </c>
      <c r="C637" s="19">
        <v>-27.051757445948056</v>
      </c>
      <c r="D637" s="5">
        <v>103016.56852537241</v>
      </c>
      <c r="E637" s="6">
        <v>75.397224808307868</v>
      </c>
    </row>
    <row r="638" spans="1:5" x14ac:dyDescent="0.3">
      <c r="A638" s="4">
        <v>635</v>
      </c>
      <c r="B638" s="5">
        <v>97676.53559011656</v>
      </c>
      <c r="C638" s="19">
        <v>21.316736534172996</v>
      </c>
      <c r="D638" s="5">
        <v>160178.53274827197</v>
      </c>
      <c r="E638" s="6">
        <v>63.988753061876317</v>
      </c>
    </row>
    <row r="639" spans="1:5" x14ac:dyDescent="0.3">
      <c r="A639" s="4">
        <v>636</v>
      </c>
      <c r="B639" s="5">
        <v>61820.444742816311</v>
      </c>
      <c r="C639" s="19">
        <v>-23.217438436171129</v>
      </c>
      <c r="D639" s="5">
        <v>110355.10690948834</v>
      </c>
      <c r="E639" s="6">
        <v>78.509079591039139</v>
      </c>
    </row>
    <row r="640" spans="1:5" x14ac:dyDescent="0.3">
      <c r="A640" s="4">
        <v>637</v>
      </c>
      <c r="B640" s="5">
        <v>41922.851925384937</v>
      </c>
      <c r="C640" s="19">
        <v>-47.930753777597182</v>
      </c>
      <c r="D640" s="5">
        <v>86145.610033944482</v>
      </c>
      <c r="E640" s="6">
        <v>105.48604419200302</v>
      </c>
    </row>
    <row r="641" spans="1:5" x14ac:dyDescent="0.3">
      <c r="A641" s="4">
        <v>638</v>
      </c>
      <c r="B641" s="5">
        <v>32449.000918020713</v>
      </c>
      <c r="C641" s="19">
        <v>-59.6975172042549</v>
      </c>
      <c r="D641" s="5">
        <v>63536.988178735446</v>
      </c>
      <c r="E641" s="6">
        <v>95.805683938484123</v>
      </c>
    </row>
    <row r="642" spans="1:5" x14ac:dyDescent="0.3">
      <c r="A642" s="4">
        <v>639</v>
      </c>
      <c r="B642" s="5">
        <v>49050.674507418153</v>
      </c>
      <c r="C642" s="19">
        <v>-39.077817204626115</v>
      </c>
      <c r="D642" s="5">
        <v>95790.070689759828</v>
      </c>
      <c r="E642" s="6">
        <v>95.287978507355831</v>
      </c>
    </row>
    <row r="643" spans="1:5" x14ac:dyDescent="0.3">
      <c r="A643" s="4">
        <v>640</v>
      </c>
      <c r="B643" s="5">
        <v>86060.477768019467</v>
      </c>
      <c r="C643" s="19">
        <v>6.8892978678116057</v>
      </c>
      <c r="D643" s="5">
        <v>167929.88458395918</v>
      </c>
      <c r="E643" s="6">
        <v>95.130086352324227</v>
      </c>
    </row>
    <row r="644" spans="1:5" x14ac:dyDescent="0.3">
      <c r="A644" s="4">
        <v>641</v>
      </c>
      <c r="B644" s="5">
        <v>130582.49092205054</v>
      </c>
      <c r="C644" s="19">
        <v>62.186768310908491</v>
      </c>
      <c r="D644" s="5">
        <v>220629.48892016103</v>
      </c>
      <c r="E644" s="6">
        <v>68.957941728851566</v>
      </c>
    </row>
    <row r="645" spans="1:5" x14ac:dyDescent="0.3">
      <c r="A645" s="4">
        <v>642</v>
      </c>
      <c r="B645" s="5">
        <v>22102.099645583439</v>
      </c>
      <c r="C645" s="19">
        <v>-72.54863122083745</v>
      </c>
      <c r="D645" s="5">
        <v>44975.842609898107</v>
      </c>
      <c r="E645" s="6">
        <v>103.49126703392373</v>
      </c>
    </row>
    <row r="646" spans="1:5" x14ac:dyDescent="0.3">
      <c r="A646" s="4">
        <v>643</v>
      </c>
      <c r="B646" s="5">
        <v>74078.017561320434</v>
      </c>
      <c r="C646" s="19">
        <v>-7.9932218606461811</v>
      </c>
      <c r="D646" s="5">
        <v>121918.87626273018</v>
      </c>
      <c r="E646" s="6">
        <v>64.581721104790574</v>
      </c>
    </row>
    <row r="647" spans="1:5" x14ac:dyDescent="0.3">
      <c r="A647" s="4">
        <v>644</v>
      </c>
      <c r="B647" s="5">
        <v>77397.481916368692</v>
      </c>
      <c r="C647" s="19">
        <v>-3.8703628734493014</v>
      </c>
      <c r="D647" s="5">
        <v>149403.53864110963</v>
      </c>
      <c r="E647" s="6">
        <v>93.03410775372069</v>
      </c>
    </row>
    <row r="648" spans="1:5" x14ac:dyDescent="0.3">
      <c r="A648" s="4">
        <v>645</v>
      </c>
      <c r="B648" s="5">
        <v>44102.668076913047</v>
      </c>
      <c r="C648" s="19">
        <v>-45.223366786953036</v>
      </c>
      <c r="D648" s="5">
        <v>80604.844078039314</v>
      </c>
      <c r="E648" s="6">
        <v>82.766366736516105</v>
      </c>
    </row>
    <row r="649" spans="1:5" x14ac:dyDescent="0.3">
      <c r="A649" s="4">
        <v>646</v>
      </c>
      <c r="B649" s="5">
        <v>92905.781589965802</v>
      </c>
      <c r="C649" s="19">
        <v>15.391338969558669</v>
      </c>
      <c r="D649" s="5">
        <v>168045.77916569903</v>
      </c>
      <c r="E649" s="6">
        <v>80.877633544227834</v>
      </c>
    </row>
    <row r="650" spans="1:5" x14ac:dyDescent="0.3">
      <c r="A650" s="4">
        <v>647</v>
      </c>
      <c r="B650" s="5">
        <v>128093.06424988342</v>
      </c>
      <c r="C650" s="19">
        <v>59.09483719476232</v>
      </c>
      <c r="D650" s="5">
        <v>276722.16050412122</v>
      </c>
      <c r="E650" s="6">
        <v>116.03211861985969</v>
      </c>
    </row>
    <row r="651" spans="1:5" x14ac:dyDescent="0.3">
      <c r="A651" s="4">
        <v>648</v>
      </c>
      <c r="B651" s="5">
        <v>45304.497252639798</v>
      </c>
      <c r="C651" s="19">
        <v>-43.730664444575147</v>
      </c>
      <c r="D651" s="5">
        <v>79442.356843080066</v>
      </c>
      <c r="E651" s="6">
        <v>75.352032713377312</v>
      </c>
    </row>
    <row r="652" spans="1:5" x14ac:dyDescent="0.3">
      <c r="A652" s="4">
        <v>649</v>
      </c>
      <c r="B652" s="5">
        <v>73061.853233509974</v>
      </c>
      <c r="C652" s="19">
        <v>-9.2553237491664824</v>
      </c>
      <c r="D652" s="5">
        <v>118903.27158317144</v>
      </c>
      <c r="E652" s="6">
        <v>62.743300807262038</v>
      </c>
    </row>
    <row r="653" spans="1:5" x14ac:dyDescent="0.3">
      <c r="A653" s="4">
        <v>650</v>
      </c>
      <c r="B653" s="5">
        <v>85258.305923349384</v>
      </c>
      <c r="C653" s="19">
        <v>5.8929800751398194</v>
      </c>
      <c r="D653" s="5">
        <v>176120.84681397426</v>
      </c>
      <c r="E653" s="6">
        <v>106.5732422273484</v>
      </c>
    </row>
    <row r="654" spans="1:5" x14ac:dyDescent="0.3">
      <c r="A654" s="4">
        <v>651</v>
      </c>
      <c r="B654" s="5">
        <v>90695.447149036103</v>
      </c>
      <c r="C654" s="19">
        <v>12.646047488829598</v>
      </c>
      <c r="D654" s="5">
        <v>175485.81870893369</v>
      </c>
      <c r="E654" s="6">
        <v>93.48911574421706</v>
      </c>
    </row>
    <row r="655" spans="1:5" x14ac:dyDescent="0.3">
      <c r="A655" s="4">
        <v>652</v>
      </c>
      <c r="B655" s="5">
        <v>173936.07107911608</v>
      </c>
      <c r="C655" s="19">
        <v>116.03301531334678</v>
      </c>
      <c r="D655" s="5">
        <v>280741.98897003365</v>
      </c>
      <c r="E655" s="6">
        <v>61.405272194711188</v>
      </c>
    </row>
    <row r="656" spans="1:5" x14ac:dyDescent="0.3">
      <c r="A656" s="4">
        <v>653</v>
      </c>
      <c r="B656" s="5">
        <v>78720.845780919248</v>
      </c>
      <c r="C656" s="19">
        <v>-2.2267113626275989</v>
      </c>
      <c r="D656" s="5">
        <v>138080.87741301398</v>
      </c>
      <c r="E656" s="6">
        <v>75.405734076199053</v>
      </c>
    </row>
    <row r="657" spans="1:5" x14ac:dyDescent="0.3">
      <c r="A657" s="4">
        <v>654</v>
      </c>
      <c r="B657" s="5">
        <v>74090.42620092172</v>
      </c>
      <c r="C657" s="19">
        <v>-7.9778100152919</v>
      </c>
      <c r="D657" s="5">
        <v>134413.35770176054</v>
      </c>
      <c r="E657" s="6">
        <v>81.41798420385976</v>
      </c>
    </row>
    <row r="658" spans="1:5" x14ac:dyDescent="0.3">
      <c r="A658" s="4">
        <v>655</v>
      </c>
      <c r="B658" s="5">
        <v>117730.67510174004</v>
      </c>
      <c r="C658" s="19">
        <v>46.224486843422788</v>
      </c>
      <c r="D658" s="5">
        <v>220079.6276531425</v>
      </c>
      <c r="E658" s="6">
        <v>86.934821755634147</v>
      </c>
    </row>
    <row r="659" spans="1:5" x14ac:dyDescent="0.3">
      <c r="A659" s="4">
        <v>656</v>
      </c>
      <c r="B659" s="5">
        <v>62829.424497323853</v>
      </c>
      <c r="C659" s="19">
        <v>-21.964259970059647</v>
      </c>
      <c r="D659" s="5">
        <v>131910.03597756798</v>
      </c>
      <c r="E659" s="6">
        <v>109.94945765130562</v>
      </c>
    </row>
    <row r="660" spans="1:5" x14ac:dyDescent="0.3">
      <c r="A660" s="4">
        <v>657</v>
      </c>
      <c r="B660" s="5">
        <v>62784.428022702821</v>
      </c>
      <c r="C660" s="19">
        <v>-22.020146733688051</v>
      </c>
      <c r="D660" s="5">
        <v>130999.4422654431</v>
      </c>
      <c r="E660" s="6">
        <v>108.64957504761175</v>
      </c>
    </row>
    <row r="661" spans="1:5" x14ac:dyDescent="0.3">
      <c r="A661" s="4">
        <v>658</v>
      </c>
      <c r="B661" s="5">
        <v>102255.06820210392</v>
      </c>
      <c r="C661" s="19">
        <v>27.003390255517651</v>
      </c>
      <c r="D661" s="5">
        <v>179070.19043421722</v>
      </c>
      <c r="E661" s="6">
        <v>75.121090409221196</v>
      </c>
    </row>
    <row r="662" spans="1:5" x14ac:dyDescent="0.3">
      <c r="A662" s="4">
        <v>659</v>
      </c>
      <c r="B662" s="5">
        <v>59572.836445064233</v>
      </c>
      <c r="C662" s="19">
        <v>-26.00902499319886</v>
      </c>
      <c r="D662" s="5">
        <v>104600.41283607976</v>
      </c>
      <c r="E662" s="6">
        <v>75.584073342786382</v>
      </c>
    </row>
    <row r="663" spans="1:5" x14ac:dyDescent="0.3">
      <c r="A663" s="4">
        <v>660</v>
      </c>
      <c r="B663" s="5">
        <v>43164.48779637758</v>
      </c>
      <c r="C663" s="19">
        <v>-46.388610509282543</v>
      </c>
      <c r="D663" s="5">
        <v>83829.743825266545</v>
      </c>
      <c r="E663" s="6">
        <v>94.209981642135105</v>
      </c>
    </row>
    <row r="664" spans="1:5" x14ac:dyDescent="0.3">
      <c r="A664" s="4">
        <v>661</v>
      </c>
      <c r="B664" s="5">
        <v>48501.068758993606</v>
      </c>
      <c r="C664" s="19">
        <v>-39.760441494855698</v>
      </c>
      <c r="D664" s="5">
        <v>99091.75576241735</v>
      </c>
      <c r="E664" s="6">
        <v>104.30839628465436</v>
      </c>
    </row>
    <row r="665" spans="1:5" x14ac:dyDescent="0.3">
      <c r="A665" s="4">
        <v>662</v>
      </c>
      <c r="B665" s="5">
        <v>149081.50083590377</v>
      </c>
      <c r="C665" s="19">
        <v>85.16300818574976</v>
      </c>
      <c r="D665" s="5">
        <v>273240.93851939996</v>
      </c>
      <c r="E665" s="6">
        <v>83.282927115256456</v>
      </c>
    </row>
    <row r="666" spans="1:5" x14ac:dyDescent="0.3">
      <c r="A666" s="4">
        <v>663</v>
      </c>
      <c r="B666" s="5">
        <v>69406.045502726134</v>
      </c>
      <c r="C666" s="19">
        <v>-13.795929746457533</v>
      </c>
      <c r="D666" s="5">
        <v>123435.80693628067</v>
      </c>
      <c r="E666" s="6">
        <v>77.845900947392764</v>
      </c>
    </row>
    <row r="667" spans="1:5" x14ac:dyDescent="0.3">
      <c r="A667" s="4">
        <v>664</v>
      </c>
      <c r="B667" s="5">
        <v>137785.33868856708</v>
      </c>
      <c r="C667" s="19">
        <v>71.132888067378047</v>
      </c>
      <c r="D667" s="5">
        <v>224825.38278253342</v>
      </c>
      <c r="E667" s="6">
        <v>63.170758893804276</v>
      </c>
    </row>
    <row r="668" spans="1:5" x14ac:dyDescent="0.3">
      <c r="A668" s="4">
        <v>665</v>
      </c>
      <c r="B668" s="5">
        <v>81516.844149322074</v>
      </c>
      <c r="C668" s="19">
        <v>1.2459895819770079</v>
      </c>
      <c r="D668" s="5">
        <v>145652.45243482452</v>
      </c>
      <c r="E668" s="6">
        <v>78.677737042934609</v>
      </c>
    </row>
    <row r="669" spans="1:5" x14ac:dyDescent="0.3">
      <c r="A669" s="4">
        <v>666</v>
      </c>
      <c r="B669" s="5">
        <v>98266.523892949321</v>
      </c>
      <c r="C669" s="19">
        <v>22.049516982011159</v>
      </c>
      <c r="D669" s="5">
        <v>172653.99964397185</v>
      </c>
      <c r="E669" s="6">
        <v>75.699712174676677</v>
      </c>
    </row>
    <row r="670" spans="1:5" x14ac:dyDescent="0.3">
      <c r="A670" s="4">
        <v>667</v>
      </c>
      <c r="B670" s="5">
        <v>42852.155871644965</v>
      </c>
      <c r="C670" s="19">
        <v>-46.776534687746462</v>
      </c>
      <c r="D670" s="5">
        <v>71601.271832829108</v>
      </c>
      <c r="E670" s="6">
        <v>67.089077262055028</v>
      </c>
    </row>
    <row r="671" spans="1:5" x14ac:dyDescent="0.3">
      <c r="A671" s="4">
        <v>668</v>
      </c>
      <c r="B671" s="5">
        <v>70789.949784354278</v>
      </c>
      <c r="C671" s="19">
        <v>-12.07708550092326</v>
      </c>
      <c r="D671" s="5">
        <v>131453.75267977524</v>
      </c>
      <c r="E671" s="6">
        <v>85.69550208782411</v>
      </c>
    </row>
    <row r="672" spans="1:5" x14ac:dyDescent="0.3">
      <c r="A672" s="4">
        <v>669</v>
      </c>
      <c r="B672" s="5">
        <v>37265.069335875603</v>
      </c>
      <c r="C672" s="19">
        <v>-53.715837982632586</v>
      </c>
      <c r="D672" s="5">
        <v>75327.939668166349</v>
      </c>
      <c r="E672" s="6">
        <v>102.14088155646361</v>
      </c>
    </row>
    <row r="673" spans="1:5" x14ac:dyDescent="0.3">
      <c r="A673" s="4">
        <v>670</v>
      </c>
      <c r="B673" s="5">
        <v>142653.11975876198</v>
      </c>
      <c r="C673" s="19">
        <v>77.178795715833033</v>
      </c>
      <c r="D673" s="5">
        <v>231096.99802071697</v>
      </c>
      <c r="E673" s="6">
        <v>61.999259750870351</v>
      </c>
    </row>
    <row r="674" spans="1:5" x14ac:dyDescent="0.3">
      <c r="A674" s="4">
        <v>671</v>
      </c>
      <c r="B674" s="5">
        <v>64576.837496913431</v>
      </c>
      <c r="C674" s="19">
        <v>-19.793928669846657</v>
      </c>
      <c r="D674" s="5">
        <v>128205.68588105121</v>
      </c>
      <c r="E674" s="6">
        <v>98.531998237261206</v>
      </c>
    </row>
    <row r="675" spans="1:5" x14ac:dyDescent="0.3">
      <c r="A675" s="4">
        <v>672</v>
      </c>
      <c r="B675" s="5">
        <v>55709.061396655758</v>
      </c>
      <c r="C675" s="19">
        <v>-30.80793167783062</v>
      </c>
      <c r="D675" s="5">
        <v>101727.80622907117</v>
      </c>
      <c r="E675" s="6">
        <v>82.605493035964045</v>
      </c>
    </row>
    <row r="676" spans="1:5" x14ac:dyDescent="0.3">
      <c r="A676" s="4">
        <v>673</v>
      </c>
      <c r="B676" s="5">
        <v>58074.21377766638</v>
      </c>
      <c r="C676" s="19">
        <v>-27.870352385764992</v>
      </c>
      <c r="D676" s="5">
        <v>115405.03036991805</v>
      </c>
      <c r="E676" s="6">
        <v>98.719918640206203</v>
      </c>
    </row>
    <row r="677" spans="1:5" x14ac:dyDescent="0.3">
      <c r="A677" s="4">
        <v>674</v>
      </c>
      <c r="B677" s="5">
        <v>99823.753212266645</v>
      </c>
      <c r="C677" s="19">
        <v>23.983635323878573</v>
      </c>
      <c r="D677" s="5">
        <v>157609.59519575664</v>
      </c>
      <c r="E677" s="6">
        <v>57.887867490429223</v>
      </c>
    </row>
    <row r="678" spans="1:5" x14ac:dyDescent="0.3">
      <c r="A678" s="4">
        <v>675</v>
      </c>
      <c r="B678" s="5">
        <v>55069.275958467908</v>
      </c>
      <c r="C678" s="19">
        <v>-31.602561431784437</v>
      </c>
      <c r="D678" s="5">
        <v>110329.60636170229</v>
      </c>
      <c r="E678" s="6">
        <v>100.34693473164702</v>
      </c>
    </row>
    <row r="679" spans="1:5" x14ac:dyDescent="0.3">
      <c r="A679" s="4">
        <v>676</v>
      </c>
      <c r="B679" s="5">
        <v>79543.656287836915</v>
      </c>
      <c r="C679" s="19">
        <v>-1.2047598275715137</v>
      </c>
      <c r="D679" s="5">
        <v>154072.32319338707</v>
      </c>
      <c r="E679" s="6">
        <v>93.695299391142512</v>
      </c>
    </row>
    <row r="680" spans="1:5" x14ac:dyDescent="0.3">
      <c r="A680" s="4">
        <v>677</v>
      </c>
      <c r="B680" s="5">
        <v>48344.637700749474</v>
      </c>
      <c r="C680" s="19">
        <v>-39.95473283989687</v>
      </c>
      <c r="D680" s="5">
        <v>99344.353940963847</v>
      </c>
      <c r="E680" s="6">
        <v>105.49198146007357</v>
      </c>
    </row>
    <row r="681" spans="1:5" x14ac:dyDescent="0.3">
      <c r="A681" s="4">
        <v>678</v>
      </c>
      <c r="B681" s="5">
        <v>70855.035943882976</v>
      </c>
      <c r="C681" s="19">
        <v>-11.996246838701467</v>
      </c>
      <c r="D681" s="5">
        <v>129303.54069599214</v>
      </c>
      <c r="E681" s="6">
        <v>82.490261946095472</v>
      </c>
    </row>
    <row r="682" spans="1:5" x14ac:dyDescent="0.3">
      <c r="A682" s="4">
        <v>679</v>
      </c>
      <c r="B682" s="5">
        <v>42930.730888258629</v>
      </c>
      <c r="C682" s="19">
        <v>-46.678942522636419</v>
      </c>
      <c r="D682" s="5">
        <v>86439.995296538968</v>
      </c>
      <c r="E682" s="6">
        <v>101.34759764870422</v>
      </c>
    </row>
    <row r="683" spans="1:5" x14ac:dyDescent="0.3">
      <c r="A683" s="4">
        <v>680</v>
      </c>
      <c r="B683" s="5">
        <v>37490.937738275614</v>
      </c>
      <c r="C683" s="19">
        <v>-53.435303693616198</v>
      </c>
      <c r="D683" s="5">
        <v>70622.214181724412</v>
      </c>
      <c r="E683" s="6">
        <v>88.371426382392386</v>
      </c>
    </row>
    <row r="684" spans="1:5" x14ac:dyDescent="0.3">
      <c r="A684" s="4">
        <v>681</v>
      </c>
      <c r="B684" s="5">
        <v>37004.727900180056</v>
      </c>
      <c r="C684" s="19">
        <v>-54.039188654033751</v>
      </c>
      <c r="D684" s="5">
        <v>70130.081828161696</v>
      </c>
      <c r="E684" s="6">
        <v>89.516545067800536</v>
      </c>
    </row>
    <row r="685" spans="1:5" x14ac:dyDescent="0.3">
      <c r="A685" s="4">
        <v>682</v>
      </c>
      <c r="B685" s="5">
        <v>50147.36304799909</v>
      </c>
      <c r="C685" s="19">
        <v>-37.715702199892405</v>
      </c>
      <c r="D685" s="5">
        <v>112309.01758858275</v>
      </c>
      <c r="E685" s="6">
        <v>123.95797258788058</v>
      </c>
    </row>
    <row r="686" spans="1:5" x14ac:dyDescent="0.3">
      <c r="A686" s="4">
        <v>683</v>
      </c>
      <c r="B686" s="5">
        <v>55974.291260236503</v>
      </c>
      <c r="C686" s="19">
        <v>-30.478509454912672</v>
      </c>
      <c r="D686" s="5">
        <v>104706.08616798262</v>
      </c>
      <c r="E686" s="6">
        <v>87.061030717086766</v>
      </c>
    </row>
    <row r="687" spans="1:5" x14ac:dyDescent="0.3">
      <c r="A687" s="4">
        <v>684</v>
      </c>
      <c r="B687" s="5">
        <v>44233.403288230169</v>
      </c>
      <c r="C687" s="19">
        <v>-45.060990336034941</v>
      </c>
      <c r="D687" s="5">
        <v>97316.13807906436</v>
      </c>
      <c r="E687" s="6">
        <v>120.00599285779734</v>
      </c>
    </row>
    <row r="688" spans="1:5" x14ac:dyDescent="0.3">
      <c r="A688" s="4">
        <v>685</v>
      </c>
      <c r="B688" s="5">
        <v>28928.394731771619</v>
      </c>
      <c r="C688" s="19">
        <v>-64.07019945140226</v>
      </c>
      <c r="D688" s="5">
        <v>57118.642240357833</v>
      </c>
      <c r="E688" s="6">
        <v>97.448364383749535</v>
      </c>
    </row>
    <row r="689" spans="1:5" x14ac:dyDescent="0.3">
      <c r="A689" s="4">
        <v>686</v>
      </c>
      <c r="B689" s="5">
        <v>76014.906006731355</v>
      </c>
      <c r="C689" s="19">
        <v>-5.5875572472528203</v>
      </c>
      <c r="D689" s="5">
        <v>151572.67847977497</v>
      </c>
      <c r="E689" s="6">
        <v>99.39862645670145</v>
      </c>
    </row>
    <row r="690" spans="1:5" x14ac:dyDescent="0.3">
      <c r="A690" s="4">
        <v>687</v>
      </c>
      <c r="B690" s="5">
        <v>85246.634547545371</v>
      </c>
      <c r="C690" s="19">
        <v>5.8784839301357774</v>
      </c>
      <c r="D690" s="5">
        <v>149777.8048879666</v>
      </c>
      <c r="E690" s="6">
        <v>75.699375914282783</v>
      </c>
    </row>
    <row r="691" spans="1:5" x14ac:dyDescent="0.3">
      <c r="A691" s="4">
        <v>688</v>
      </c>
      <c r="B691" s="5">
        <v>145877.80746213242</v>
      </c>
      <c r="C691" s="19">
        <v>81.183939695922774</v>
      </c>
      <c r="D691" s="5">
        <v>225561.99251008243</v>
      </c>
      <c r="E691" s="6">
        <v>54.623925622569267</v>
      </c>
    </row>
    <row r="692" spans="1:5" x14ac:dyDescent="0.3">
      <c r="A692" s="4">
        <v>689</v>
      </c>
      <c r="B692" s="5">
        <v>78606.761613745795</v>
      </c>
      <c r="C692" s="19">
        <v>-2.3684067940644886</v>
      </c>
      <c r="D692" s="5">
        <v>128926.22109305079</v>
      </c>
      <c r="E692" s="6">
        <v>64.014161690774614</v>
      </c>
    </row>
    <row r="693" spans="1:5" x14ac:dyDescent="0.3">
      <c r="A693" s="4">
        <v>690</v>
      </c>
      <c r="B693" s="5">
        <v>168141.80379472527</v>
      </c>
      <c r="C693" s="19">
        <v>108.83638826978745</v>
      </c>
      <c r="D693" s="5">
        <v>254699.95270069243</v>
      </c>
      <c r="E693" s="6">
        <v>51.479255576228425</v>
      </c>
    </row>
    <row r="694" spans="1:5" x14ac:dyDescent="0.3">
      <c r="A694" s="4">
        <v>691</v>
      </c>
      <c r="B694" s="5">
        <v>58762.39498313277</v>
      </c>
      <c r="C694" s="19">
        <v>-27.015613860417627</v>
      </c>
      <c r="D694" s="5">
        <v>117809.7718126363</v>
      </c>
      <c r="E694" s="6">
        <v>100.48497316430442</v>
      </c>
    </row>
    <row r="695" spans="1:5" x14ac:dyDescent="0.3">
      <c r="A695" s="4">
        <v>692</v>
      </c>
      <c r="B695" s="5">
        <v>139348.93170620012</v>
      </c>
      <c r="C695" s="19">
        <v>73.074910284083856</v>
      </c>
      <c r="D695" s="5">
        <v>266414.00831159879</v>
      </c>
      <c r="E695" s="6">
        <v>91.184822911523696</v>
      </c>
    </row>
    <row r="696" spans="1:5" x14ac:dyDescent="0.3">
      <c r="A696" s="4">
        <v>693</v>
      </c>
      <c r="B696" s="5">
        <v>46597.274019321681</v>
      </c>
      <c r="C696" s="19">
        <v>-42.125002885701065</v>
      </c>
      <c r="D696" s="5">
        <v>96643.34569066402</v>
      </c>
      <c r="E696" s="6">
        <v>107.40128628681285</v>
      </c>
    </row>
    <row r="697" spans="1:5" x14ac:dyDescent="0.3">
      <c r="A697" s="4">
        <v>694</v>
      </c>
      <c r="B697" s="5">
        <v>71235.216113993432</v>
      </c>
      <c r="C697" s="19">
        <v>-11.524053417280877</v>
      </c>
      <c r="D697" s="5">
        <v>136164.29568803145</v>
      </c>
      <c r="E697" s="6">
        <v>91.14744520482104</v>
      </c>
    </row>
    <row r="698" spans="1:5" x14ac:dyDescent="0.3">
      <c r="A698" s="4">
        <v>695</v>
      </c>
      <c r="B698" s="5">
        <v>39196.677235440962</v>
      </c>
      <c r="C698" s="19">
        <v>-51.31673194121592</v>
      </c>
      <c r="D698" s="5">
        <v>74938.30702848373</v>
      </c>
      <c r="E698" s="6">
        <v>91.185356295267297</v>
      </c>
    </row>
    <row r="699" spans="1:5" x14ac:dyDescent="0.3">
      <c r="A699" s="4">
        <v>696</v>
      </c>
      <c r="B699" s="5">
        <v>53354.920288870904</v>
      </c>
      <c r="C699" s="19">
        <v>-33.731834689049819</v>
      </c>
      <c r="D699" s="5">
        <v>100986.45274261657</v>
      </c>
      <c r="E699" s="6">
        <v>89.272989624690609</v>
      </c>
    </row>
    <row r="700" spans="1:5" x14ac:dyDescent="0.3">
      <c r="A700" s="4">
        <v>697</v>
      </c>
      <c r="B700" s="5">
        <v>78327.488322855148</v>
      </c>
      <c r="C700" s="19">
        <v>-2.7152713101667603</v>
      </c>
      <c r="D700" s="5">
        <v>155123.48951119752</v>
      </c>
      <c r="E700" s="6">
        <v>98.044764146910737</v>
      </c>
    </row>
    <row r="701" spans="1:5" x14ac:dyDescent="0.3">
      <c r="A701" s="4">
        <v>698</v>
      </c>
      <c r="B701" s="5">
        <v>73081.639797652286</v>
      </c>
      <c r="C701" s="19">
        <v>-9.2307483342578038</v>
      </c>
      <c r="D701" s="5">
        <v>118311.05659948316</v>
      </c>
      <c r="E701" s="6">
        <v>61.888891556157773</v>
      </c>
    </row>
    <row r="702" spans="1:5" x14ac:dyDescent="0.3">
      <c r="A702" s="4">
        <v>699</v>
      </c>
      <c r="B702" s="5">
        <v>54455.725966083315</v>
      </c>
      <c r="C702" s="19">
        <v>-32.364606096114215</v>
      </c>
      <c r="D702" s="5">
        <v>101327.19212790686</v>
      </c>
      <c r="E702" s="6">
        <v>86.072612806624832</v>
      </c>
    </row>
    <row r="703" spans="1:5" x14ac:dyDescent="0.3">
      <c r="A703" s="4">
        <v>700</v>
      </c>
      <c r="B703" s="5">
        <v>91281.689333109316</v>
      </c>
      <c r="C703" s="19">
        <v>13.374175162080373</v>
      </c>
      <c r="D703" s="5">
        <v>153850.46988996828</v>
      </c>
      <c r="E703" s="6">
        <v>68.544722401587137</v>
      </c>
    </row>
    <row r="704" spans="1:5" x14ac:dyDescent="0.3">
      <c r="A704" s="4">
        <v>701</v>
      </c>
      <c r="B704" s="5">
        <v>44750.601227757572</v>
      </c>
      <c r="C704" s="19">
        <v>-44.418617367065593</v>
      </c>
      <c r="D704" s="5">
        <v>81873.460358740267</v>
      </c>
      <c r="E704" s="6">
        <v>82.954995268211945</v>
      </c>
    </row>
    <row r="705" spans="1:5" x14ac:dyDescent="0.3">
      <c r="A705" s="4">
        <v>702</v>
      </c>
      <c r="B705" s="5">
        <v>112677.30385838247</v>
      </c>
      <c r="C705" s="19">
        <v>39.94807148904971</v>
      </c>
      <c r="D705" s="5">
        <v>196902.63191849599</v>
      </c>
      <c r="E705" s="6">
        <v>74.749151049950058</v>
      </c>
    </row>
    <row r="706" spans="1:5" x14ac:dyDescent="0.3">
      <c r="A706" s="4">
        <v>703</v>
      </c>
      <c r="B706" s="5">
        <v>121269.22280278493</v>
      </c>
      <c r="C706" s="19">
        <v>50.619452907357442</v>
      </c>
      <c r="D706" s="5">
        <v>194017.47978249096</v>
      </c>
      <c r="E706" s="6">
        <v>59.989051878408986</v>
      </c>
    </row>
    <row r="707" spans="1:5" x14ac:dyDescent="0.3">
      <c r="A707" s="4">
        <v>704</v>
      </c>
      <c r="B707" s="5">
        <v>81119.013415989626</v>
      </c>
      <c r="C707" s="19">
        <v>0.75187371300905681</v>
      </c>
      <c r="D707" s="5">
        <v>128841.36878777435</v>
      </c>
      <c r="E707" s="6">
        <v>58.830049038020007</v>
      </c>
    </row>
    <row r="708" spans="1:5" x14ac:dyDescent="0.3">
      <c r="A708" s="4">
        <v>705</v>
      </c>
      <c r="B708" s="5">
        <v>81164.355032423642</v>
      </c>
      <c r="C708" s="19">
        <v>0.80818915152994997</v>
      </c>
      <c r="D708" s="5">
        <v>143106.48499782101</v>
      </c>
      <c r="E708" s="6">
        <v>76.316912689878023</v>
      </c>
    </row>
    <row r="709" spans="1:5" x14ac:dyDescent="0.3">
      <c r="A709" s="4">
        <v>706</v>
      </c>
      <c r="B709" s="5">
        <v>174159.90405356925</v>
      </c>
      <c r="C709" s="19">
        <v>116.31102154918776</v>
      </c>
      <c r="D709" s="5">
        <v>309151.48959416762</v>
      </c>
      <c r="E709" s="6">
        <v>77.510140048697309</v>
      </c>
    </row>
    <row r="710" spans="1:5" x14ac:dyDescent="0.3">
      <c r="A710" s="4">
        <v>707</v>
      </c>
      <c r="B710" s="5">
        <v>62178.755584669707</v>
      </c>
      <c r="C710" s="19">
        <v>-22.772407275556699</v>
      </c>
      <c r="D710" s="5">
        <v>106799.55867573054</v>
      </c>
      <c r="E710" s="6">
        <v>71.762135911999792</v>
      </c>
    </row>
    <row r="711" spans="1:5" x14ac:dyDescent="0.3">
      <c r="A711" s="4">
        <v>708</v>
      </c>
      <c r="B711" s="5">
        <v>100427.95298766496</v>
      </c>
      <c r="C711" s="19">
        <v>24.734066781374089</v>
      </c>
      <c r="D711" s="5">
        <v>209321.70928299098</v>
      </c>
      <c r="E711" s="6">
        <v>108.4297280346846</v>
      </c>
    </row>
    <row r="712" spans="1:5" x14ac:dyDescent="0.3">
      <c r="A712" s="4">
        <v>709</v>
      </c>
      <c r="B712" s="5">
        <v>79320.151666824953</v>
      </c>
      <c r="C712" s="19">
        <v>-1.4823582401038882</v>
      </c>
      <c r="D712" s="5">
        <v>158056.30658959461</v>
      </c>
      <c r="E712" s="6">
        <v>99.263747317947264</v>
      </c>
    </row>
    <row r="713" spans="1:5" x14ac:dyDescent="0.3">
      <c r="A713" s="4">
        <v>710</v>
      </c>
      <c r="B713" s="5">
        <v>63600.482222763472</v>
      </c>
      <c r="C713" s="19">
        <v>-21.006586703244253</v>
      </c>
      <c r="D713" s="5">
        <v>122045.88695498694</v>
      </c>
      <c r="E713" s="6">
        <v>91.894593703733065</v>
      </c>
    </row>
    <row r="714" spans="1:5" x14ac:dyDescent="0.3">
      <c r="A714" s="4">
        <v>711</v>
      </c>
      <c r="B714" s="5">
        <v>82867.407759796464</v>
      </c>
      <c r="C714" s="19">
        <v>2.9234238676494191</v>
      </c>
      <c r="D714" s="5">
        <v>167315.51561111206</v>
      </c>
      <c r="E714" s="6">
        <v>101.90750517513595</v>
      </c>
    </row>
    <row r="715" spans="1:5" x14ac:dyDescent="0.3">
      <c r="A715" s="4">
        <v>712</v>
      </c>
      <c r="B715" s="5">
        <v>102264.32750399514</v>
      </c>
      <c r="C715" s="19">
        <v>27.01489054349614</v>
      </c>
      <c r="D715" s="5">
        <v>166503.21717347295</v>
      </c>
      <c r="E715" s="6">
        <v>62.816517975897511</v>
      </c>
    </row>
    <row r="716" spans="1:5" x14ac:dyDescent="0.3">
      <c r="A716" s="4">
        <v>713</v>
      </c>
      <c r="B716" s="5">
        <v>127541.34695641632</v>
      </c>
      <c r="C716" s="19">
        <v>58.409590311992375</v>
      </c>
      <c r="D716" s="5">
        <v>245037.06718112828</v>
      </c>
      <c r="E716" s="6">
        <v>92.123631299630873</v>
      </c>
    </row>
    <row r="717" spans="1:5" x14ac:dyDescent="0.3">
      <c r="A717" s="4">
        <v>714</v>
      </c>
      <c r="B717" s="5">
        <v>66284.866035676387</v>
      </c>
      <c r="C717" s="19">
        <v>-17.672513869679225</v>
      </c>
      <c r="D717" s="5">
        <v>132307.91179135162</v>
      </c>
      <c r="E717" s="6">
        <v>99.605007453948488</v>
      </c>
    </row>
    <row r="718" spans="1:5" x14ac:dyDescent="0.3">
      <c r="A718" s="4">
        <v>715</v>
      </c>
      <c r="B718" s="5">
        <v>80670.07395711304</v>
      </c>
      <c r="C718" s="19">
        <v>0.19427950961845289</v>
      </c>
      <c r="D718" s="5">
        <v>127977.57441957232</v>
      </c>
      <c r="E718" s="6">
        <v>58.643184692764216</v>
      </c>
    </row>
    <row r="719" spans="1:5" x14ac:dyDescent="0.3">
      <c r="A719" s="4">
        <v>716</v>
      </c>
      <c r="B719" s="5">
        <v>62215.723276376681</v>
      </c>
      <c r="C719" s="19">
        <v>-22.726492464102787</v>
      </c>
      <c r="D719" s="5">
        <v>120223.02329938619</v>
      </c>
      <c r="E719" s="6">
        <v>93.235756121210102</v>
      </c>
    </row>
    <row r="720" spans="1:5" x14ac:dyDescent="0.3">
      <c r="A720" s="4">
        <v>717</v>
      </c>
      <c r="B720" s="5">
        <v>43167.759115437198</v>
      </c>
      <c r="C720" s="19">
        <v>-46.384547447974342</v>
      </c>
      <c r="D720" s="5">
        <v>90559.247007506288</v>
      </c>
      <c r="E720" s="6">
        <v>109.78445224672653</v>
      </c>
    </row>
    <row r="721" spans="1:5" x14ac:dyDescent="0.3">
      <c r="A721" s="4">
        <v>718</v>
      </c>
      <c r="B721" s="5">
        <v>33130.357415638078</v>
      </c>
      <c r="C721" s="19">
        <v>-58.851255139288128</v>
      </c>
      <c r="D721" s="5">
        <v>74610.951972217706</v>
      </c>
      <c r="E721" s="6">
        <v>125.20418671064533</v>
      </c>
    </row>
    <row r="722" spans="1:5" x14ac:dyDescent="0.3">
      <c r="A722" s="4">
        <v>719</v>
      </c>
      <c r="B722" s="5">
        <v>58812.608121016659</v>
      </c>
      <c r="C722" s="19">
        <v>-26.953247868601775</v>
      </c>
      <c r="D722" s="5">
        <v>126568.53138020096</v>
      </c>
      <c r="E722" s="6">
        <v>115.20645899560395</v>
      </c>
    </row>
    <row r="723" spans="1:5" x14ac:dyDescent="0.3">
      <c r="A723" s="4">
        <v>720</v>
      </c>
      <c r="B723" s="5">
        <v>40912.734432742043</v>
      </c>
      <c r="C723" s="19">
        <v>-49.185345343352068</v>
      </c>
      <c r="D723" s="5">
        <v>73884.196159893632</v>
      </c>
      <c r="E723" s="6">
        <v>80.589728807676238</v>
      </c>
    </row>
    <row r="724" spans="1:5" x14ac:dyDescent="0.3">
      <c r="A724" s="4">
        <v>721</v>
      </c>
      <c r="B724" s="5">
        <v>65672.444546526007</v>
      </c>
      <c r="C724" s="19">
        <v>-18.433156904347221</v>
      </c>
      <c r="D724" s="5">
        <v>120236.48419161781</v>
      </c>
      <c r="E724" s="6">
        <v>83.085135663612476</v>
      </c>
    </row>
    <row r="725" spans="1:5" x14ac:dyDescent="0.3">
      <c r="A725" s="4">
        <v>722</v>
      </c>
      <c r="B725" s="5">
        <v>89108.116859952876</v>
      </c>
      <c r="C725" s="19">
        <v>10.674542978457634</v>
      </c>
      <c r="D725" s="5">
        <v>167879.3685979975</v>
      </c>
      <c r="E725" s="6">
        <v>88.399636883636276</v>
      </c>
    </row>
    <row r="726" spans="1:5" x14ac:dyDescent="0.3">
      <c r="A726" s="4">
        <v>723</v>
      </c>
      <c r="B726" s="5">
        <v>87569.822677167933</v>
      </c>
      <c r="C726" s="19">
        <v>8.7639425567955129</v>
      </c>
      <c r="D726" s="5">
        <v>163761.18483660847</v>
      </c>
      <c r="E726" s="6">
        <v>87.006413659560721</v>
      </c>
    </row>
    <row r="727" spans="1:5" x14ac:dyDescent="0.3">
      <c r="A727" s="4">
        <v>724</v>
      </c>
      <c r="B727" s="5">
        <v>34769.985957782366</v>
      </c>
      <c r="C727" s="19">
        <v>-56.814794871123617</v>
      </c>
      <c r="D727" s="5">
        <v>81456.506131822243</v>
      </c>
      <c r="E727" s="6">
        <v>134.27247347964575</v>
      </c>
    </row>
    <row r="728" spans="1:5" x14ac:dyDescent="0.3">
      <c r="A728" s="4">
        <v>725</v>
      </c>
      <c r="B728" s="5">
        <v>93882.621732407133</v>
      </c>
      <c r="C728" s="19">
        <v>16.6045992216816</v>
      </c>
      <c r="D728" s="5">
        <v>177796.63520041647</v>
      </c>
      <c r="E728" s="6">
        <v>89.381838640157227</v>
      </c>
    </row>
    <row r="729" spans="1:5" x14ac:dyDescent="0.3">
      <c r="A729" s="4">
        <v>726</v>
      </c>
      <c r="B729" s="5">
        <v>60482.094646043624</v>
      </c>
      <c r="C729" s="19">
        <v>-24.87970322780944</v>
      </c>
      <c r="D729" s="5">
        <v>117305.97711473101</v>
      </c>
      <c r="E729" s="6">
        <v>93.951578233582993</v>
      </c>
    </row>
    <row r="730" spans="1:5" x14ac:dyDescent="0.3">
      <c r="A730" s="4">
        <v>727</v>
      </c>
      <c r="B730" s="5">
        <v>48529.346277374294</v>
      </c>
      <c r="C730" s="19">
        <v>-39.725320099256386</v>
      </c>
      <c r="D730" s="5">
        <v>105942.15253961597</v>
      </c>
      <c r="E730" s="6">
        <v>118.30533618584739</v>
      </c>
    </row>
    <row r="731" spans="1:5" x14ac:dyDescent="0.3">
      <c r="A731" s="4">
        <v>728</v>
      </c>
      <c r="B731" s="5">
        <v>35756.450367277794</v>
      </c>
      <c r="C731" s="19">
        <v>-55.589581035025972</v>
      </c>
      <c r="D731" s="5">
        <v>56931.439544772256</v>
      </c>
      <c r="E731" s="6">
        <v>59.220053892353285</v>
      </c>
    </row>
    <row r="732" spans="1:5" x14ac:dyDescent="0.3">
      <c r="A732" s="4">
        <v>729</v>
      </c>
      <c r="B732" s="5">
        <v>58082.808662266063</v>
      </c>
      <c r="C732" s="19">
        <v>-27.859677320927549</v>
      </c>
      <c r="D732" s="5">
        <v>114148.65853366393</v>
      </c>
      <c r="E732" s="6">
        <v>96.527442736806677</v>
      </c>
    </row>
    <row r="733" spans="1:5" x14ac:dyDescent="0.3">
      <c r="A733" s="4">
        <v>730</v>
      </c>
      <c r="B733" s="5">
        <v>49035.853488378278</v>
      </c>
      <c r="C733" s="19">
        <v>-39.096225286476745</v>
      </c>
      <c r="D733" s="5">
        <v>103762.93731942264</v>
      </c>
      <c r="E733" s="6">
        <v>111.60626345377047</v>
      </c>
    </row>
    <row r="734" spans="1:5" x14ac:dyDescent="0.3">
      <c r="A734" s="4">
        <v>731</v>
      </c>
      <c r="B734" s="5">
        <v>105003.69594829158</v>
      </c>
      <c r="C734" s="19">
        <v>30.417255684918764</v>
      </c>
      <c r="D734" s="5">
        <v>165159.96768508691</v>
      </c>
      <c r="E734" s="6">
        <v>57.289670800177269</v>
      </c>
    </row>
    <row r="735" spans="1:5" x14ac:dyDescent="0.3">
      <c r="A735" s="4">
        <v>732</v>
      </c>
      <c r="B735" s="5">
        <v>57705.100734980871</v>
      </c>
      <c r="C735" s="19">
        <v>-28.328800154006021</v>
      </c>
      <c r="D735" s="5">
        <v>109165.221798753</v>
      </c>
      <c r="E735" s="6">
        <v>89.17776835727274</v>
      </c>
    </row>
    <row r="736" spans="1:5" x14ac:dyDescent="0.3">
      <c r="A736" s="4">
        <v>733</v>
      </c>
      <c r="B736" s="5">
        <v>62295.692913316263</v>
      </c>
      <c r="C736" s="19">
        <v>-22.62716814514819</v>
      </c>
      <c r="D736" s="5">
        <v>103270.17111795282</v>
      </c>
      <c r="E736" s="6">
        <v>65.774175209275015</v>
      </c>
    </row>
    <row r="737" spans="1:5" x14ac:dyDescent="0.3">
      <c r="A737" s="4">
        <v>734</v>
      </c>
      <c r="B737" s="5">
        <v>52282.913432001937</v>
      </c>
      <c r="C737" s="19">
        <v>-35.063294416116129</v>
      </c>
      <c r="D737" s="5">
        <v>88201.054654969514</v>
      </c>
      <c r="E737" s="6">
        <v>68.699578629415825</v>
      </c>
    </row>
    <row r="738" spans="1:5" x14ac:dyDescent="0.3">
      <c r="A738" s="4">
        <v>735</v>
      </c>
      <c r="B738" s="5">
        <v>22882.982321857744</v>
      </c>
      <c r="C738" s="19">
        <v>-71.578755115697874</v>
      </c>
      <c r="D738" s="5">
        <v>49131.744357241798</v>
      </c>
      <c r="E738" s="6">
        <v>114.70865845275478</v>
      </c>
    </row>
    <row r="739" spans="1:5" x14ac:dyDescent="0.3">
      <c r="A739" s="4">
        <v>736</v>
      </c>
      <c r="B739" s="5">
        <v>77024.592372328887</v>
      </c>
      <c r="C739" s="19">
        <v>-4.3335011522316034</v>
      </c>
      <c r="D739" s="5">
        <v>150367.1916743833</v>
      </c>
      <c r="E739" s="6">
        <v>95.219717551407342</v>
      </c>
    </row>
    <row r="740" spans="1:5" x14ac:dyDescent="0.3">
      <c r="A740" s="4">
        <v>737</v>
      </c>
      <c r="B740" s="5">
        <v>107808.99015444257</v>
      </c>
      <c r="C740" s="19">
        <v>33.901502295963567</v>
      </c>
      <c r="D740" s="5">
        <v>178593.38317614529</v>
      </c>
      <c r="E740" s="6">
        <v>65.657226656422637</v>
      </c>
    </row>
    <row r="741" spans="1:5" x14ac:dyDescent="0.3">
      <c r="A741" s="4">
        <v>738</v>
      </c>
      <c r="B741" s="5">
        <v>49673.704272453666</v>
      </c>
      <c r="C741" s="19">
        <v>-38.303998422038077</v>
      </c>
      <c r="D741" s="5">
        <v>97037.970091899711</v>
      </c>
      <c r="E741" s="6">
        <v>95.350782699150727</v>
      </c>
    </row>
    <row r="742" spans="1:5" x14ac:dyDescent="0.3">
      <c r="A742" s="4">
        <v>739</v>
      </c>
      <c r="B742" s="5">
        <v>78013.898633704448</v>
      </c>
      <c r="C742" s="19">
        <v>-3.1047576639638761</v>
      </c>
      <c r="D742" s="5">
        <v>132803.01069769188</v>
      </c>
      <c r="E742" s="6">
        <v>70.229937259303711</v>
      </c>
    </row>
    <row r="743" spans="1:5" x14ac:dyDescent="0.3">
      <c r="A743" s="4">
        <v>740</v>
      </c>
      <c r="B743" s="5">
        <v>76693.142556162638</v>
      </c>
      <c r="C743" s="19">
        <v>-4.7451702371270503</v>
      </c>
      <c r="D743" s="5">
        <v>155581.99723402286</v>
      </c>
      <c r="E743" s="6">
        <v>102.86298363649612</v>
      </c>
    </row>
    <row r="744" spans="1:5" x14ac:dyDescent="0.3">
      <c r="A744" s="4">
        <v>741</v>
      </c>
      <c r="B744" s="5">
        <v>60687.392672959126</v>
      </c>
      <c r="C744" s="19">
        <v>-24.624717867284289</v>
      </c>
      <c r="D744" s="5">
        <v>109615.18175371233</v>
      </c>
      <c r="E744" s="6">
        <v>80.622658060830275</v>
      </c>
    </row>
    <row r="745" spans="1:5" x14ac:dyDescent="0.3">
      <c r="A745" s="4">
        <v>742</v>
      </c>
      <c r="B745" s="5">
        <v>56004.585442615753</v>
      </c>
      <c r="C745" s="19">
        <v>-30.440883311438011</v>
      </c>
      <c r="D745" s="5">
        <v>103650.7843327849</v>
      </c>
      <c r="E745" s="6">
        <v>85.075531786569684</v>
      </c>
    </row>
    <row r="746" spans="1:5" x14ac:dyDescent="0.3">
      <c r="A746" s="4">
        <v>743</v>
      </c>
      <c r="B746" s="5">
        <v>96820.848628758235</v>
      </c>
      <c r="C746" s="19">
        <v>20.253951608195962</v>
      </c>
      <c r="D746" s="5">
        <v>176769.86147726202</v>
      </c>
      <c r="E746" s="6">
        <v>82.574170729543582</v>
      </c>
    </row>
    <row r="747" spans="1:5" x14ac:dyDescent="0.3">
      <c r="A747" s="4">
        <v>744</v>
      </c>
      <c r="B747" s="5">
        <v>61704.518470918098</v>
      </c>
      <c r="C747" s="19">
        <v>-23.361421808434464</v>
      </c>
      <c r="D747" s="5">
        <v>133039.63642401187</v>
      </c>
      <c r="E747" s="6">
        <v>115.60760819601026</v>
      </c>
    </row>
    <row r="748" spans="1:5" x14ac:dyDescent="0.3">
      <c r="A748" s="4">
        <v>745</v>
      </c>
      <c r="B748" s="5">
        <v>43289.730404246759</v>
      </c>
      <c r="C748" s="19">
        <v>-46.23305601126598</v>
      </c>
      <c r="D748" s="5">
        <v>74045.59425258993</v>
      </c>
      <c r="E748" s="6">
        <v>71.046558990180259</v>
      </c>
    </row>
    <row r="749" spans="1:5" x14ac:dyDescent="0.3">
      <c r="A749" s="4">
        <v>746</v>
      </c>
      <c r="B749" s="5">
        <v>53991.993252298664</v>
      </c>
      <c r="C749" s="19">
        <v>-32.940573897598995</v>
      </c>
      <c r="D749" s="5">
        <v>102294.79455149146</v>
      </c>
      <c r="E749" s="6">
        <v>89.462896977111228</v>
      </c>
    </row>
    <row r="750" spans="1:5" x14ac:dyDescent="0.3">
      <c r="A750" s="4">
        <v>747</v>
      </c>
      <c r="B750" s="5">
        <v>128548.35747520803</v>
      </c>
      <c r="C750" s="19">
        <v>59.660322937359524</v>
      </c>
      <c r="D750" s="5">
        <v>217091.12906765251</v>
      </c>
      <c r="E750" s="6">
        <v>68.878959896100525</v>
      </c>
    </row>
    <row r="751" spans="1:5" x14ac:dyDescent="0.3">
      <c r="A751" s="4">
        <v>748</v>
      </c>
      <c r="B751" s="5">
        <v>84349.623434969937</v>
      </c>
      <c r="C751" s="19">
        <v>4.7643733594128888</v>
      </c>
      <c r="D751" s="5">
        <v>151009.95400755628</v>
      </c>
      <c r="E751" s="6">
        <v>79.028604821192474</v>
      </c>
    </row>
    <row r="752" spans="1:5" x14ac:dyDescent="0.3">
      <c r="A752" s="4">
        <v>749</v>
      </c>
      <c r="B752" s="5">
        <v>54686.144213210333</v>
      </c>
      <c r="C752" s="19">
        <v>-32.078420784457819</v>
      </c>
      <c r="D752" s="5">
        <v>94605.900390584138</v>
      </c>
      <c r="E752" s="6">
        <v>72.99793531197713</v>
      </c>
    </row>
    <row r="753" spans="1:5" x14ac:dyDescent="0.3">
      <c r="A753" s="4">
        <v>750</v>
      </c>
      <c r="B753" s="5">
        <v>89716.338427297407</v>
      </c>
      <c r="C753" s="19">
        <v>11.429969603635817</v>
      </c>
      <c r="D753" s="5">
        <v>149135.44612266455</v>
      </c>
      <c r="E753" s="6">
        <v>66.229974090525388</v>
      </c>
    </row>
    <row r="754" spans="1:5" x14ac:dyDescent="0.3">
      <c r="A754" s="4">
        <v>751</v>
      </c>
      <c r="B754" s="5">
        <v>42017.00293342353</v>
      </c>
      <c r="C754" s="19">
        <v>-47.81381583577074</v>
      </c>
      <c r="D754" s="5">
        <v>92523.507323667654</v>
      </c>
      <c r="E754" s="6">
        <v>120.20491911398896</v>
      </c>
    </row>
    <row r="755" spans="1:5" x14ac:dyDescent="0.3">
      <c r="A755" s="4">
        <v>752</v>
      </c>
      <c r="B755" s="5">
        <v>46324.568980549098</v>
      </c>
      <c r="C755" s="19">
        <v>-42.463709465950238</v>
      </c>
      <c r="D755" s="5">
        <v>90788.98225363942</v>
      </c>
      <c r="E755" s="6">
        <v>95.984515887800654</v>
      </c>
    </row>
    <row r="756" spans="1:5" x14ac:dyDescent="0.3">
      <c r="A756" s="4">
        <v>753</v>
      </c>
      <c r="B756" s="5">
        <v>58785.282686360952</v>
      </c>
      <c r="C756" s="19">
        <v>-26.987186752047837</v>
      </c>
      <c r="D756" s="5">
        <v>112018.73371349035</v>
      </c>
      <c r="E756" s="6">
        <v>90.555745578612886</v>
      </c>
    </row>
    <row r="757" spans="1:5" x14ac:dyDescent="0.3">
      <c r="A757" s="4">
        <v>754</v>
      </c>
      <c r="B757" s="5">
        <v>72377.028798004452</v>
      </c>
      <c r="C757" s="19">
        <v>-10.105893081017291</v>
      </c>
      <c r="D757" s="5">
        <v>145187.72204432043</v>
      </c>
      <c r="E757" s="6">
        <v>100.59917415167985</v>
      </c>
    </row>
    <row r="758" spans="1:5" x14ac:dyDescent="0.3">
      <c r="A758" s="4">
        <v>755</v>
      </c>
      <c r="B758" s="5">
        <v>112128.76444956184</v>
      </c>
      <c r="C758" s="19">
        <v>39.266771619675183</v>
      </c>
      <c r="D758" s="5">
        <v>150736.683358668</v>
      </c>
      <c r="E758" s="6">
        <v>34.43177056184625</v>
      </c>
    </row>
    <row r="759" spans="1:5" x14ac:dyDescent="0.3">
      <c r="A759" s="4">
        <v>756</v>
      </c>
      <c r="B759" s="5">
        <v>45853.019463436161</v>
      </c>
      <c r="C759" s="19">
        <v>-43.049385935583288</v>
      </c>
      <c r="D759" s="5">
        <v>95493.814232192613</v>
      </c>
      <c r="E759" s="6">
        <v>108.26068893530712</v>
      </c>
    </row>
    <row r="760" spans="1:5" x14ac:dyDescent="0.3">
      <c r="A760" s="4">
        <v>757</v>
      </c>
      <c r="B760" s="5">
        <v>80771.142912184208</v>
      </c>
      <c r="C760" s="19">
        <v>0.31980971725814522</v>
      </c>
      <c r="D760" s="5">
        <v>169580.88984668336</v>
      </c>
      <c r="E760" s="6">
        <v>109.95232174819496</v>
      </c>
    </row>
    <row r="761" spans="1:5" x14ac:dyDescent="0.3">
      <c r="A761" s="4">
        <v>758</v>
      </c>
      <c r="B761" s="5">
        <v>33946.68848790125</v>
      </c>
      <c r="C761" s="19">
        <v>-57.837351226540925</v>
      </c>
      <c r="D761" s="5">
        <v>61768.127816038534</v>
      </c>
      <c r="E761" s="6">
        <v>81.956268983506192</v>
      </c>
    </row>
    <row r="762" spans="1:5" x14ac:dyDescent="0.3">
      <c r="A762" s="4">
        <v>759</v>
      </c>
      <c r="B762" s="5">
        <v>97336.543498885556</v>
      </c>
      <c r="C762" s="19">
        <v>20.894457726817876</v>
      </c>
      <c r="D762" s="5">
        <v>178869.46790410142</v>
      </c>
      <c r="E762" s="6">
        <v>83.763940524710918</v>
      </c>
    </row>
    <row r="763" spans="1:5" x14ac:dyDescent="0.3">
      <c r="A763" s="4">
        <v>760</v>
      </c>
      <c r="B763" s="5">
        <v>36141.433180284213</v>
      </c>
      <c r="C763" s="19">
        <v>-55.111422609222728</v>
      </c>
      <c r="D763" s="5">
        <v>72993.620072661433</v>
      </c>
      <c r="E763" s="6">
        <v>101.96658972694182</v>
      </c>
    </row>
    <row r="764" spans="1:5" x14ac:dyDescent="0.3">
      <c r="A764" s="4">
        <v>761</v>
      </c>
      <c r="B764" s="5">
        <v>54516.330437069861</v>
      </c>
      <c r="C764" s="19">
        <v>-32.289333804820828</v>
      </c>
      <c r="D764" s="5">
        <v>108393.70213335996</v>
      </c>
      <c r="E764" s="6">
        <v>98.827949835109791</v>
      </c>
    </row>
    <row r="765" spans="1:5" x14ac:dyDescent="0.3">
      <c r="A765" s="4">
        <v>762</v>
      </c>
      <c r="B765" s="5">
        <v>37437.023275512947</v>
      </c>
      <c r="C765" s="19">
        <v>-53.502266824882518</v>
      </c>
      <c r="D765" s="5">
        <v>78921.493985291803</v>
      </c>
      <c r="E765" s="6">
        <v>110.8113495148352</v>
      </c>
    </row>
    <row r="766" spans="1:5" x14ac:dyDescent="0.3">
      <c r="A766" s="4">
        <v>763</v>
      </c>
      <c r="B766" s="5">
        <v>63295.146485347454</v>
      </c>
      <c r="C766" s="19">
        <v>-21.385821439476178</v>
      </c>
      <c r="D766" s="5">
        <v>114373.35030249126</v>
      </c>
      <c r="E766" s="6">
        <v>80.698452651449642</v>
      </c>
    </row>
    <row r="767" spans="1:5" x14ac:dyDescent="0.3">
      <c r="A767" s="4">
        <v>764</v>
      </c>
      <c r="B767" s="5">
        <v>62479.276615309966</v>
      </c>
      <c r="C767" s="19">
        <v>-22.399152527352349</v>
      </c>
      <c r="D767" s="5">
        <v>122492.92771687344</v>
      </c>
      <c r="E767" s="6">
        <v>96.053690683828577</v>
      </c>
    </row>
    <row r="768" spans="1:5" x14ac:dyDescent="0.3">
      <c r="A768" s="4">
        <v>765</v>
      </c>
      <c r="B768" s="5">
        <v>71781.164669859223</v>
      </c>
      <c r="C768" s="19">
        <v>-10.845971453040079</v>
      </c>
      <c r="D768" s="5">
        <v>117911.61660995272</v>
      </c>
      <c r="E768" s="6">
        <v>64.265399081026032</v>
      </c>
    </row>
    <row r="769" spans="1:5" x14ac:dyDescent="0.3">
      <c r="A769" s="4">
        <v>766</v>
      </c>
      <c r="B769" s="5">
        <v>69629.578611962614</v>
      </c>
      <c r="C769" s="19">
        <v>-13.51829595082719</v>
      </c>
      <c r="D769" s="5">
        <v>141499.80814375778</v>
      </c>
      <c r="E769" s="6">
        <v>103.21795846607004</v>
      </c>
    </row>
    <row r="770" spans="1:5" x14ac:dyDescent="0.3">
      <c r="A770" s="4">
        <v>767</v>
      </c>
      <c r="B770" s="5">
        <v>59083.653668646541</v>
      </c>
      <c r="C770" s="19">
        <v>-26.616602418474834</v>
      </c>
      <c r="D770" s="5">
        <v>100355.16665213635</v>
      </c>
      <c r="E770" s="6">
        <v>69.852675690892568</v>
      </c>
    </row>
    <row r="771" spans="1:5" x14ac:dyDescent="0.3">
      <c r="A771" s="4">
        <v>768</v>
      </c>
      <c r="B771" s="5">
        <v>56108.578409992631</v>
      </c>
      <c r="C771" s="19">
        <v>-30.31172140629419</v>
      </c>
      <c r="D771" s="5">
        <v>111995.64341013238</v>
      </c>
      <c r="E771" s="6">
        <v>99.605205806081472</v>
      </c>
    </row>
    <row r="772" spans="1:5" x14ac:dyDescent="0.3">
      <c r="A772" s="4">
        <v>769</v>
      </c>
      <c r="B772" s="5">
        <v>64455.338654075524</v>
      </c>
      <c r="C772" s="19">
        <v>-19.944833316666099</v>
      </c>
      <c r="D772" s="5">
        <v>123570.65342730703</v>
      </c>
      <c r="E772" s="6">
        <v>91.71515658384277</v>
      </c>
    </row>
    <row r="773" spans="1:5" x14ac:dyDescent="0.3">
      <c r="A773" s="4">
        <v>770</v>
      </c>
      <c r="B773" s="5">
        <v>46873.946936619424</v>
      </c>
      <c r="C773" s="19">
        <v>-41.781368099606667</v>
      </c>
      <c r="D773" s="5">
        <v>90678.600900903271</v>
      </c>
      <c r="E773" s="6">
        <v>93.452027889851649</v>
      </c>
    </row>
    <row r="774" spans="1:5" x14ac:dyDescent="0.3">
      <c r="A774" s="4">
        <v>771</v>
      </c>
      <c r="B774" s="5">
        <v>47581.667867287426</v>
      </c>
      <c r="C774" s="19">
        <v>-40.902360739580516</v>
      </c>
      <c r="D774" s="5">
        <v>96526.222310869329</v>
      </c>
      <c r="E774" s="6">
        <v>102.86431022152433</v>
      </c>
    </row>
    <row r="775" spans="1:5" x14ac:dyDescent="0.3">
      <c r="A775" s="4">
        <v>772</v>
      </c>
      <c r="B775" s="5">
        <v>63648.217988157914</v>
      </c>
      <c r="C775" s="19">
        <v>-20.947297670943637</v>
      </c>
      <c r="D775" s="5">
        <v>118139.28808898876</v>
      </c>
      <c r="E775" s="6">
        <v>85.612876248898587</v>
      </c>
    </row>
    <row r="776" spans="1:5" x14ac:dyDescent="0.3">
      <c r="A776" s="4">
        <v>773</v>
      </c>
      <c r="B776" s="5">
        <v>35229.013600418468</v>
      </c>
      <c r="C776" s="19">
        <v>-56.24467088743453</v>
      </c>
      <c r="D776" s="5">
        <v>71436.488441921843</v>
      </c>
      <c r="E776" s="6">
        <v>102.77743013807599</v>
      </c>
    </row>
    <row r="777" spans="1:5" x14ac:dyDescent="0.3">
      <c r="A777" s="4">
        <v>774</v>
      </c>
      <c r="B777" s="5">
        <v>72619.265891490417</v>
      </c>
      <c r="C777" s="19">
        <v>-9.8050284621843709</v>
      </c>
      <c r="D777" s="5">
        <v>117627.29510177478</v>
      </c>
      <c r="E777" s="6">
        <v>61.978083443499045</v>
      </c>
    </row>
    <row r="778" spans="1:5" x14ac:dyDescent="0.3">
      <c r="A778" s="4">
        <v>775</v>
      </c>
      <c r="B778" s="5">
        <v>45906.52567242927</v>
      </c>
      <c r="C778" s="19">
        <v>-42.9829298658615</v>
      </c>
      <c r="D778" s="5">
        <v>82631.759388341306</v>
      </c>
      <c r="E778" s="6">
        <v>80.000028706090092</v>
      </c>
    </row>
    <row r="779" spans="1:5" x14ac:dyDescent="0.3">
      <c r="A779" s="4">
        <v>776</v>
      </c>
      <c r="B779" s="5">
        <v>78136.620302664596</v>
      </c>
      <c r="C779" s="19">
        <v>-2.9523342360615175</v>
      </c>
      <c r="D779" s="5">
        <v>148763.03928068554</v>
      </c>
      <c r="E779" s="6">
        <v>90.388371936804205</v>
      </c>
    </row>
    <row r="780" spans="1:5" x14ac:dyDescent="0.3">
      <c r="A780" s="4">
        <v>777</v>
      </c>
      <c r="B780" s="5">
        <v>31909.789634922614</v>
      </c>
      <c r="C780" s="19">
        <v>-60.367231304705491</v>
      </c>
      <c r="D780" s="5">
        <v>63868.336744426386</v>
      </c>
      <c r="E780" s="6">
        <v>100.15279785651671</v>
      </c>
    </row>
    <row r="781" spans="1:5" x14ac:dyDescent="0.3">
      <c r="A781" s="4">
        <v>778</v>
      </c>
      <c r="B781" s="5">
        <v>37313.534647186658</v>
      </c>
      <c r="C781" s="19">
        <v>-53.655642835785414</v>
      </c>
      <c r="D781" s="5">
        <v>72456.515684624726</v>
      </c>
      <c r="E781" s="6">
        <v>94.182932198002732</v>
      </c>
    </row>
    <row r="782" spans="1:5" x14ac:dyDescent="0.3">
      <c r="A782" s="4">
        <v>779</v>
      </c>
      <c r="B782" s="5">
        <v>114251.00040933923</v>
      </c>
      <c r="C782" s="19">
        <v>41.902642550602351</v>
      </c>
      <c r="D782" s="5">
        <v>196524.06399264143</v>
      </c>
      <c r="E782" s="6">
        <v>72.010803659078448</v>
      </c>
    </row>
    <row r="783" spans="1:5" x14ac:dyDescent="0.3">
      <c r="A783" s="4">
        <v>780</v>
      </c>
      <c r="B783" s="5">
        <v>56939.883481231562</v>
      </c>
      <c r="C783" s="19">
        <v>-29.279219406732899</v>
      </c>
      <c r="D783" s="5">
        <v>107001.54984367589</v>
      </c>
      <c r="E783" s="6">
        <v>87.920212163668339</v>
      </c>
    </row>
    <row r="784" spans="1:5" x14ac:dyDescent="0.3">
      <c r="A784" s="4">
        <v>781</v>
      </c>
      <c r="B784" s="5">
        <v>161055.10149293239</v>
      </c>
      <c r="C784" s="19">
        <v>100.03452412863423</v>
      </c>
      <c r="D784" s="5">
        <v>250386.28823512941</v>
      </c>
      <c r="E784" s="6">
        <v>55.466226101578755</v>
      </c>
    </row>
    <row r="785" spans="1:5" x14ac:dyDescent="0.3">
      <c r="A785" s="4">
        <v>782</v>
      </c>
      <c r="B785" s="5">
        <v>43863.937877802768</v>
      </c>
      <c r="C785" s="19">
        <v>-45.519875753955581</v>
      </c>
      <c r="D785" s="5">
        <v>78613.301356384618</v>
      </c>
      <c r="E785" s="6">
        <v>79.220802234827786</v>
      </c>
    </row>
    <row r="786" spans="1:5" x14ac:dyDescent="0.3">
      <c r="A786" s="4">
        <v>783</v>
      </c>
      <c r="B786" s="5">
        <v>33343.860878120147</v>
      </c>
      <c r="C786" s="19">
        <v>-58.586078419510081</v>
      </c>
      <c r="D786" s="5">
        <v>67540.376928884158</v>
      </c>
      <c r="E786" s="6">
        <v>102.55715790010198</v>
      </c>
    </row>
    <row r="787" spans="1:5" x14ac:dyDescent="0.3">
      <c r="A787" s="4">
        <v>784</v>
      </c>
      <c r="B787" s="5">
        <v>105677.18800199269</v>
      </c>
      <c r="C787" s="19">
        <v>31.25374991091774</v>
      </c>
      <c r="D787" s="5">
        <v>187661.90272409553</v>
      </c>
      <c r="E787" s="6">
        <v>77.580333345505849</v>
      </c>
    </row>
    <row r="788" spans="1:5" x14ac:dyDescent="0.3">
      <c r="A788" s="4">
        <v>785</v>
      </c>
      <c r="B788" s="5">
        <v>26471.570076175416</v>
      </c>
      <c r="C788" s="19">
        <v>-67.121638035427807</v>
      </c>
      <c r="D788" s="5">
        <v>49049.276574380085</v>
      </c>
      <c r="E788" s="6">
        <v>85.290394310705238</v>
      </c>
    </row>
    <row r="789" spans="1:5" x14ac:dyDescent="0.3">
      <c r="A789" s="4">
        <v>786</v>
      </c>
      <c r="B789" s="5">
        <v>45124.005258044454</v>
      </c>
      <c r="C789" s="19">
        <v>-43.954840083305172</v>
      </c>
      <c r="D789" s="5">
        <v>92238.716846146592</v>
      </c>
      <c r="E789" s="6">
        <v>104.41163482424423</v>
      </c>
    </row>
    <row r="790" spans="1:5" x14ac:dyDescent="0.3">
      <c r="A790" s="4">
        <v>787</v>
      </c>
      <c r="B790" s="5">
        <v>40386.173291291962</v>
      </c>
      <c r="C790" s="19">
        <v>-49.839347646776275</v>
      </c>
      <c r="D790" s="5">
        <v>85763.279389197371</v>
      </c>
      <c r="E790" s="6">
        <v>112.35802355082151</v>
      </c>
    </row>
    <row r="791" spans="1:5" x14ac:dyDescent="0.3">
      <c r="A791" s="4">
        <v>788</v>
      </c>
      <c r="B791" s="5">
        <v>66614.600658648458</v>
      </c>
      <c r="C791" s="19">
        <v>-17.262975098267834</v>
      </c>
      <c r="D791" s="5">
        <v>133444.52353387047</v>
      </c>
      <c r="E791" s="6">
        <v>100.32323576880229</v>
      </c>
    </row>
    <row r="792" spans="1:5" x14ac:dyDescent="0.3">
      <c r="A792" s="4">
        <v>789</v>
      </c>
      <c r="B792" s="5">
        <v>55623.497316105568</v>
      </c>
      <c r="C792" s="19">
        <v>-30.914204437753796</v>
      </c>
      <c r="D792" s="5">
        <v>104715.84367392024</v>
      </c>
      <c r="E792" s="6">
        <v>88.258287821827025</v>
      </c>
    </row>
    <row r="793" spans="1:5" x14ac:dyDescent="0.3">
      <c r="A793" s="4">
        <v>790</v>
      </c>
      <c r="B793" s="5">
        <v>57064.948994857783</v>
      </c>
      <c r="C793" s="19">
        <v>-29.123884864261285</v>
      </c>
      <c r="D793" s="5">
        <v>96205.191897491706</v>
      </c>
      <c r="E793" s="6">
        <v>68.588938730429632</v>
      </c>
    </row>
    <row r="794" spans="1:5" x14ac:dyDescent="0.3">
      <c r="A794" s="4">
        <v>791</v>
      </c>
      <c r="B794" s="5">
        <v>54552.006748662214</v>
      </c>
      <c r="C794" s="19">
        <v>-32.245022920248481</v>
      </c>
      <c r="D794" s="5">
        <v>105546.36780654898</v>
      </c>
      <c r="E794" s="6">
        <v>93.478432961840227</v>
      </c>
    </row>
    <row r="795" spans="1:5" x14ac:dyDescent="0.3">
      <c r="A795" s="4">
        <v>792</v>
      </c>
      <c r="B795" s="5">
        <v>73884.659370371432</v>
      </c>
      <c r="C795" s="19">
        <v>-8.2333776418311349</v>
      </c>
      <c r="D795" s="5">
        <v>133402.70630394871</v>
      </c>
      <c r="E795" s="6">
        <v>80.555351328376929</v>
      </c>
    </row>
    <row r="796" spans="1:5" x14ac:dyDescent="0.3">
      <c r="A796" s="4">
        <v>793</v>
      </c>
      <c r="B796" s="5">
        <v>76848.715665753582</v>
      </c>
      <c r="C796" s="19">
        <v>-4.5519444860905214</v>
      </c>
      <c r="D796" s="5">
        <v>117301.19877638678</v>
      </c>
      <c r="E796" s="6">
        <v>52.639114083021965</v>
      </c>
    </row>
    <row r="797" spans="1:5" x14ac:dyDescent="0.3">
      <c r="A797" s="4">
        <v>794</v>
      </c>
      <c r="B797" s="5">
        <v>78798.864996872406</v>
      </c>
      <c r="C797" s="19">
        <v>-2.1298095160458317</v>
      </c>
      <c r="D797" s="5">
        <v>152247.91944682892</v>
      </c>
      <c r="E797" s="6">
        <v>93.210802532335677</v>
      </c>
    </row>
    <row r="798" spans="1:5" x14ac:dyDescent="0.3">
      <c r="A798" s="4">
        <v>795</v>
      </c>
      <c r="B798" s="5">
        <v>38601.176888086171</v>
      </c>
      <c r="C798" s="19">
        <v>-52.056358488263108</v>
      </c>
      <c r="D798" s="5">
        <v>66770.847374633202</v>
      </c>
      <c r="E798" s="6">
        <v>72.976195954381097</v>
      </c>
    </row>
    <row r="799" spans="1:5" x14ac:dyDescent="0.3">
      <c r="A799" s="4">
        <v>796</v>
      </c>
      <c r="B799" s="5">
        <v>39236.076566231124</v>
      </c>
      <c r="C799" s="19">
        <v>-51.267796972298207</v>
      </c>
      <c r="D799" s="5">
        <v>79946.497715109304</v>
      </c>
      <c r="E799" s="6">
        <v>103.75762489951903</v>
      </c>
    </row>
    <row r="800" spans="1:5" x14ac:dyDescent="0.3">
      <c r="A800" s="4">
        <v>797</v>
      </c>
      <c r="B800" s="5">
        <v>32285.085724824006</v>
      </c>
      <c r="C800" s="19">
        <v>-59.901104034877562</v>
      </c>
      <c r="D800" s="5">
        <v>67284.776084458601</v>
      </c>
      <c r="E800" s="6">
        <v>108.40823115028412</v>
      </c>
    </row>
    <row r="801" spans="1:5" x14ac:dyDescent="0.3">
      <c r="A801" s="4">
        <v>798</v>
      </c>
      <c r="B801" s="5">
        <v>72849.229275598715</v>
      </c>
      <c r="C801" s="19">
        <v>-9.5194081019430516</v>
      </c>
      <c r="D801" s="5">
        <v>145210.92025554975</v>
      </c>
      <c r="E801" s="6">
        <v>99.330757098605318</v>
      </c>
    </row>
    <row r="802" spans="1:5" x14ac:dyDescent="0.3">
      <c r="A802" s="4">
        <v>799</v>
      </c>
      <c r="B802" s="5">
        <v>128257.23089991695</v>
      </c>
      <c r="C802" s="19">
        <v>59.298736341159056</v>
      </c>
      <c r="D802" s="5">
        <v>245784.08703151977</v>
      </c>
      <c r="E802" s="6">
        <v>91.633707750413407</v>
      </c>
    </row>
    <row r="803" spans="1:5" x14ac:dyDescent="0.3">
      <c r="A803" s="4">
        <v>800</v>
      </c>
      <c r="B803" s="5">
        <v>76833.55055604715</v>
      </c>
      <c r="C803" s="19">
        <v>-4.570779937283092</v>
      </c>
      <c r="D803" s="5">
        <v>125931.49599597561</v>
      </c>
      <c r="E803" s="6">
        <v>63.901700604234577</v>
      </c>
    </row>
    <row r="804" spans="1:5" x14ac:dyDescent="0.3">
      <c r="A804" s="4">
        <v>801</v>
      </c>
      <c r="B804" s="5">
        <v>105530.21826204796</v>
      </c>
      <c r="C804" s="19">
        <v>31.071209763361818</v>
      </c>
      <c r="D804" s="5">
        <v>220831.62431077776</v>
      </c>
      <c r="E804" s="6">
        <v>109.25913728560521</v>
      </c>
    </row>
    <row r="805" spans="1:5" x14ac:dyDescent="0.3">
      <c r="A805" s="4">
        <v>802</v>
      </c>
      <c r="B805" s="5">
        <v>96630.902638941567</v>
      </c>
      <c r="C805" s="19">
        <v>20.018033867429541</v>
      </c>
      <c r="D805" s="5">
        <v>207640.29506194871</v>
      </c>
      <c r="E805" s="6">
        <v>114.87980489822223</v>
      </c>
    </row>
    <row r="806" spans="1:5" x14ac:dyDescent="0.3">
      <c r="A806" s="4">
        <v>803</v>
      </c>
      <c r="B806" s="5">
        <v>94419.643448296338</v>
      </c>
      <c r="C806" s="19">
        <v>17.271593824080789</v>
      </c>
      <c r="D806" s="5">
        <v>164945.43249232162</v>
      </c>
      <c r="E806" s="6">
        <v>74.693979418217992</v>
      </c>
    </row>
    <row r="807" spans="1:5" x14ac:dyDescent="0.3">
      <c r="A807" s="4">
        <v>804</v>
      </c>
      <c r="B807" s="5">
        <v>103343.72243399083</v>
      </c>
      <c r="C807" s="19">
        <v>28.355526444917885</v>
      </c>
      <c r="D807" s="5">
        <v>181632.59390650713</v>
      </c>
      <c r="E807" s="6">
        <v>75.755807540726124</v>
      </c>
    </row>
    <row r="808" spans="1:5" x14ac:dyDescent="0.3">
      <c r="A808" s="4">
        <v>805</v>
      </c>
      <c r="B808" s="5">
        <v>40168.817639903369</v>
      </c>
      <c r="C808" s="19">
        <v>-50.10930888295664</v>
      </c>
      <c r="D808" s="5">
        <v>73587.775880942965</v>
      </c>
      <c r="E808" s="6">
        <v>83.196270651096981</v>
      </c>
    </row>
    <row r="809" spans="1:5" x14ac:dyDescent="0.3">
      <c r="A809" s="4">
        <v>806</v>
      </c>
      <c r="B809" s="5">
        <v>64438.411455224275</v>
      </c>
      <c r="C809" s="19">
        <v>-19.96585732730378</v>
      </c>
      <c r="D809" s="5">
        <v>123930.59444001729</v>
      </c>
      <c r="E809" s="6">
        <v>92.324099308580571</v>
      </c>
    </row>
    <row r="810" spans="1:5" x14ac:dyDescent="0.3">
      <c r="A810" s="4">
        <v>807</v>
      </c>
      <c r="B810" s="5">
        <v>52848.606829166732</v>
      </c>
      <c r="C810" s="19">
        <v>-34.360688857797093</v>
      </c>
      <c r="D810" s="5">
        <v>100131.92205750324</v>
      </c>
      <c r="E810" s="6">
        <v>89.469369327331478</v>
      </c>
    </row>
    <row r="811" spans="1:5" x14ac:dyDescent="0.3">
      <c r="A811" s="4">
        <v>808</v>
      </c>
      <c r="B811" s="5">
        <v>69664.032017329926</v>
      </c>
      <c r="C811" s="19">
        <v>-13.475503946827466</v>
      </c>
      <c r="D811" s="5">
        <v>138965.61768053705</v>
      </c>
      <c r="E811" s="6">
        <v>99.479722399598344</v>
      </c>
    </row>
    <row r="812" spans="1:5" x14ac:dyDescent="0.3">
      <c r="A812" s="4">
        <v>809</v>
      </c>
      <c r="B812" s="5">
        <v>71140.741663319568</v>
      </c>
      <c r="C812" s="19">
        <v>-11.641393083070289</v>
      </c>
      <c r="D812" s="5">
        <v>121368.93006237224</v>
      </c>
      <c r="E812" s="6">
        <v>70.603970699043899</v>
      </c>
    </row>
    <row r="813" spans="1:5" x14ac:dyDescent="0.3">
      <c r="A813" s="4">
        <v>810</v>
      </c>
      <c r="B813" s="5">
        <v>31212.425754444645</v>
      </c>
      <c r="C813" s="19">
        <v>-61.233374945501808</v>
      </c>
      <c r="D813" s="5">
        <v>72196.805455403082</v>
      </c>
      <c r="E813" s="6">
        <v>131.30789648773859</v>
      </c>
    </row>
    <row r="814" spans="1:5" x14ac:dyDescent="0.3">
      <c r="A814" s="4">
        <v>811</v>
      </c>
      <c r="B814" s="5">
        <v>56610.054132621182</v>
      </c>
      <c r="C814" s="19">
        <v>-29.688875829791499</v>
      </c>
      <c r="D814" s="5">
        <v>118802.67178012613</v>
      </c>
      <c r="E814" s="6">
        <v>109.86143468756524</v>
      </c>
    </row>
    <row r="815" spans="1:5" x14ac:dyDescent="0.3">
      <c r="A815" s="4">
        <v>812</v>
      </c>
      <c r="B815" s="5">
        <v>40663.332849115774</v>
      </c>
      <c r="C815" s="19">
        <v>-49.495108440796066</v>
      </c>
      <c r="D815" s="5">
        <v>77740.100742284558</v>
      </c>
      <c r="E815" s="6">
        <v>91.179854909445822</v>
      </c>
    </row>
    <row r="816" spans="1:5" x14ac:dyDescent="0.3">
      <c r="A816" s="4">
        <v>813</v>
      </c>
      <c r="B816" s="5">
        <v>43995.130923665623</v>
      </c>
      <c r="C816" s="19">
        <v>-45.356930660910429</v>
      </c>
      <c r="D816" s="5">
        <v>83935.894632591444</v>
      </c>
      <c r="E816" s="6">
        <v>90.784509263594671</v>
      </c>
    </row>
    <row r="817" spans="1:5" x14ac:dyDescent="0.3">
      <c r="A817" s="4">
        <v>814</v>
      </c>
      <c r="B817" s="5">
        <v>70940.724364220805</v>
      </c>
      <c r="C817" s="19">
        <v>-11.889819645605916</v>
      </c>
      <c r="D817" s="5">
        <v>153855.10607411075</v>
      </c>
      <c r="E817" s="6">
        <v>116.87839735635417</v>
      </c>
    </row>
    <row r="818" spans="1:5" x14ac:dyDescent="0.3">
      <c r="A818" s="4">
        <v>815</v>
      </c>
      <c r="B818" s="5">
        <v>36724.355951075944</v>
      </c>
      <c r="C818" s="19">
        <v>-54.387417731524479</v>
      </c>
      <c r="D818" s="5">
        <v>75634.218279964814</v>
      </c>
      <c r="E818" s="6">
        <v>105.95110879745432</v>
      </c>
    </row>
    <row r="819" spans="1:5" x14ac:dyDescent="0.3">
      <c r="A819" s="4">
        <v>816</v>
      </c>
      <c r="B819" s="5">
        <v>57065.370876679204</v>
      </c>
      <c r="C819" s="19">
        <v>-29.123360876330416</v>
      </c>
      <c r="D819" s="5">
        <v>95136.157669501801</v>
      </c>
      <c r="E819" s="6">
        <v>66.714342179770028</v>
      </c>
    </row>
    <row r="820" spans="1:5" x14ac:dyDescent="0.3">
      <c r="A820" s="4">
        <v>817</v>
      </c>
      <c r="B820" s="5">
        <v>92034.022399199966</v>
      </c>
      <c r="C820" s="19">
        <v>14.308591926694836</v>
      </c>
      <c r="D820" s="5">
        <v>173265.12312104055</v>
      </c>
      <c r="E820" s="6">
        <v>88.262034630518016</v>
      </c>
    </row>
    <row r="821" spans="1:5" x14ac:dyDescent="0.3">
      <c r="A821" s="4">
        <v>818</v>
      </c>
      <c r="B821" s="5">
        <v>43002.651373481407</v>
      </c>
      <c r="C821" s="19">
        <v>-46.589615454426351</v>
      </c>
      <c r="D821" s="5">
        <v>87900.884374588044</v>
      </c>
      <c r="E821" s="6">
        <v>104.40805756640901</v>
      </c>
    </row>
    <row r="822" spans="1:5" x14ac:dyDescent="0.3">
      <c r="A822" s="4">
        <v>819</v>
      </c>
      <c r="B822" s="5">
        <v>93078.932053714394</v>
      </c>
      <c r="C822" s="19">
        <v>15.606396240626372</v>
      </c>
      <c r="D822" s="5">
        <v>163178.32383218006</v>
      </c>
      <c r="E822" s="6">
        <v>75.311770592739933</v>
      </c>
    </row>
    <row r="823" spans="1:5" x14ac:dyDescent="0.3">
      <c r="A823" s="4">
        <v>820</v>
      </c>
      <c r="B823" s="5">
        <v>55719.605213881478</v>
      </c>
      <c r="C823" s="19">
        <v>-30.794835989201726</v>
      </c>
      <c r="D823" s="5">
        <v>111813.2919313117</v>
      </c>
      <c r="E823" s="6">
        <v>100.67136423905522</v>
      </c>
    </row>
    <row r="824" spans="1:5" x14ac:dyDescent="0.3">
      <c r="A824" s="4">
        <v>821</v>
      </c>
      <c r="B824" s="5">
        <v>58638.444411270153</v>
      </c>
      <c r="C824" s="19">
        <v>-27.16956361691819</v>
      </c>
      <c r="D824" s="5">
        <v>115447.28979095908</v>
      </c>
      <c r="E824" s="6">
        <v>96.879864310947553</v>
      </c>
    </row>
    <row r="825" spans="1:5" x14ac:dyDescent="0.3">
      <c r="A825" s="4">
        <v>822</v>
      </c>
      <c r="B825" s="5">
        <v>33871.610131921261</v>
      </c>
      <c r="C825" s="19">
        <v>-57.930600450387935</v>
      </c>
      <c r="D825" s="5">
        <v>62415.948233435214</v>
      </c>
      <c r="E825" s="6">
        <v>84.272161820300411</v>
      </c>
    </row>
    <row r="826" spans="1:5" x14ac:dyDescent="0.3">
      <c r="A826" s="4">
        <v>823</v>
      </c>
      <c r="B826" s="5">
        <v>87041.195708384606</v>
      </c>
      <c r="C826" s="19">
        <v>8.1073744433863553</v>
      </c>
      <c r="D826" s="5">
        <v>178715.2355214624</v>
      </c>
      <c r="E826" s="6">
        <v>105.32258784704047</v>
      </c>
    </row>
    <row r="827" spans="1:5" x14ac:dyDescent="0.3">
      <c r="A827" s="4">
        <v>824</v>
      </c>
      <c r="B827" s="5">
        <v>44542.530612383947</v>
      </c>
      <c r="C827" s="19">
        <v>-44.677046352832569</v>
      </c>
      <c r="D827" s="5">
        <v>93712.770313355053</v>
      </c>
      <c r="E827" s="6">
        <v>110.38941664284458</v>
      </c>
    </row>
    <row r="828" spans="1:5" x14ac:dyDescent="0.3">
      <c r="A828" s="4">
        <v>825</v>
      </c>
      <c r="B828" s="5">
        <v>48925.91645364929</v>
      </c>
      <c r="C828" s="19">
        <v>-39.232769874150613</v>
      </c>
      <c r="D828" s="5">
        <v>99176.080447001426</v>
      </c>
      <c r="E828" s="6">
        <v>102.70663819032883</v>
      </c>
    </row>
    <row r="829" spans="1:5" x14ac:dyDescent="0.3">
      <c r="A829" s="4">
        <v>826</v>
      </c>
      <c r="B829" s="5">
        <v>139366.38310627564</v>
      </c>
      <c r="C829" s="19">
        <v>73.096585365947902</v>
      </c>
      <c r="D829" s="5">
        <v>254039.14069536308</v>
      </c>
      <c r="E829" s="6">
        <v>82.281505075468772</v>
      </c>
    </row>
    <row r="830" spans="1:5" x14ac:dyDescent="0.3">
      <c r="A830" s="4">
        <v>827</v>
      </c>
      <c r="B830" s="5">
        <v>64806.720511916661</v>
      </c>
      <c r="C830" s="19">
        <v>-19.50840813007385</v>
      </c>
      <c r="D830" s="5">
        <v>105349.56275846303</v>
      </c>
      <c r="E830" s="6">
        <v>62.559626418823875</v>
      </c>
    </row>
    <row r="831" spans="1:5" x14ac:dyDescent="0.3">
      <c r="A831" s="4">
        <v>828</v>
      </c>
      <c r="B831" s="5">
        <v>145617.92367286401</v>
      </c>
      <c r="C831" s="19">
        <v>80.861157433000585</v>
      </c>
      <c r="D831" s="5">
        <v>260243.62394995842</v>
      </c>
      <c r="E831" s="6">
        <v>78.71675229665081</v>
      </c>
    </row>
    <row r="832" spans="1:5" x14ac:dyDescent="0.3">
      <c r="A832" s="4">
        <v>829</v>
      </c>
      <c r="B832" s="5">
        <v>79108.059533584892</v>
      </c>
      <c r="C832" s="19">
        <v>-1.7457820531394801</v>
      </c>
      <c r="D832" s="5">
        <v>129846.16969403114</v>
      </c>
      <c r="E832" s="6">
        <v>64.137725611769881</v>
      </c>
    </row>
    <row r="833" spans="1:5" x14ac:dyDescent="0.3">
      <c r="A833" s="4">
        <v>830</v>
      </c>
      <c r="B833" s="5">
        <v>60846.912710741199</v>
      </c>
      <c r="C833" s="19">
        <v>-24.426589931249186</v>
      </c>
      <c r="D833" s="5">
        <v>109747.42245477087</v>
      </c>
      <c r="E833" s="6">
        <v>80.366459965679326</v>
      </c>
    </row>
    <row r="834" spans="1:5" x14ac:dyDescent="0.3">
      <c r="A834" s="4">
        <v>831</v>
      </c>
      <c r="B834" s="5">
        <v>85427.044045423085</v>
      </c>
      <c r="C834" s="19">
        <v>6.1025571058484882</v>
      </c>
      <c r="D834" s="5">
        <v>186187.09039913656</v>
      </c>
      <c r="E834" s="6">
        <v>117.948651366349</v>
      </c>
    </row>
    <row r="835" spans="1:5" x14ac:dyDescent="0.3">
      <c r="A835" s="4">
        <v>832</v>
      </c>
      <c r="B835" s="5">
        <v>56972.668064830388</v>
      </c>
      <c r="C835" s="19">
        <v>-29.238500121729473</v>
      </c>
      <c r="D835" s="5">
        <v>107204.88990752258</v>
      </c>
      <c r="E835" s="6">
        <v>88.168982687508858</v>
      </c>
    </row>
    <row r="836" spans="1:5" x14ac:dyDescent="0.3">
      <c r="A836" s="4">
        <v>833</v>
      </c>
      <c r="B836" s="5">
        <v>32215.299450632629</v>
      </c>
      <c r="C836" s="19">
        <v>-59.987780358813779</v>
      </c>
      <c r="D836" s="5">
        <v>69026.672843324428</v>
      </c>
      <c r="E836" s="6">
        <v>114.26674288439345</v>
      </c>
    </row>
    <row r="837" spans="1:5" x14ac:dyDescent="0.3">
      <c r="A837" s="4">
        <v>834</v>
      </c>
      <c r="B837" s="5">
        <v>57207.160487125169</v>
      </c>
      <c r="C837" s="19">
        <v>-28.947254581099603</v>
      </c>
      <c r="D837" s="5">
        <v>121496.12946197082</v>
      </c>
      <c r="E837" s="6">
        <v>112.37923439551642</v>
      </c>
    </row>
    <row r="838" spans="1:5" x14ac:dyDescent="0.3">
      <c r="A838" s="4">
        <v>835</v>
      </c>
      <c r="B838" s="5">
        <v>50300.413762777622</v>
      </c>
      <c r="C838" s="19">
        <v>-37.525609327239039</v>
      </c>
      <c r="D838" s="5">
        <v>91345.513521940404</v>
      </c>
      <c r="E838" s="6">
        <v>81.599924709836515</v>
      </c>
    </row>
    <row r="839" spans="1:5" x14ac:dyDescent="0.3">
      <c r="A839" s="4">
        <v>836</v>
      </c>
      <c r="B839" s="5">
        <v>80907.324877250969</v>
      </c>
      <c r="C839" s="19">
        <v>0.48895117458867948</v>
      </c>
      <c r="D839" s="5">
        <v>180645.95553269456</v>
      </c>
      <c r="E839" s="6">
        <v>123.27515562622129</v>
      </c>
    </row>
    <row r="840" spans="1:5" x14ac:dyDescent="0.3">
      <c r="A840" s="4">
        <v>837</v>
      </c>
      <c r="B840" s="5">
        <v>50391.551311030831</v>
      </c>
      <c r="C840" s="19">
        <v>-37.412414178956936</v>
      </c>
      <c r="D840" s="5">
        <v>93169.58906677975</v>
      </c>
      <c r="E840" s="6">
        <v>84.891289596763613</v>
      </c>
    </row>
    <row r="841" spans="1:5" x14ac:dyDescent="0.3">
      <c r="A841" s="4">
        <v>838</v>
      </c>
      <c r="B841" s="5">
        <v>32718.35381177481</v>
      </c>
      <c r="C841" s="19">
        <v>-59.362974073206452</v>
      </c>
      <c r="D841" s="5">
        <v>69183.82378615436</v>
      </c>
      <c r="E841" s="6">
        <v>111.45264270984261</v>
      </c>
    </row>
    <row r="842" spans="1:5" x14ac:dyDescent="0.3">
      <c r="A842" s="4">
        <v>839</v>
      </c>
      <c r="B842" s="5">
        <v>52740.485825019547</v>
      </c>
      <c r="C842" s="19">
        <v>-34.494977889391926</v>
      </c>
      <c r="D842" s="5">
        <v>101240.41982649364</v>
      </c>
      <c r="E842" s="6">
        <v>91.959589000346725</v>
      </c>
    </row>
    <row r="843" spans="1:5" x14ac:dyDescent="0.3">
      <c r="A843" s="4">
        <v>840</v>
      </c>
      <c r="B843" s="5">
        <v>45474.215709141252</v>
      </c>
      <c r="C843" s="19">
        <v>-43.519869813623302</v>
      </c>
      <c r="D843" s="5">
        <v>86329.131210638472</v>
      </c>
      <c r="E843" s="6">
        <v>89.841935400954128</v>
      </c>
    </row>
    <row r="844" spans="1:5" x14ac:dyDescent="0.3">
      <c r="A844" s="4">
        <v>841</v>
      </c>
      <c r="B844" s="5">
        <v>101583.04081504805</v>
      </c>
      <c r="C844" s="19">
        <v>26.168715182669803</v>
      </c>
      <c r="D844" s="5">
        <v>199164.18283605535</v>
      </c>
      <c r="E844" s="6">
        <v>96.060465642757237</v>
      </c>
    </row>
    <row r="845" spans="1:5" x14ac:dyDescent="0.3">
      <c r="A845" s="4">
        <v>842</v>
      </c>
      <c r="B845" s="5">
        <v>33529.896784438017</v>
      </c>
      <c r="C845" s="19">
        <v>-58.355017101699126</v>
      </c>
      <c r="D845" s="5">
        <v>70520.669000440146</v>
      </c>
      <c r="E845" s="6">
        <v>110.32175987243235</v>
      </c>
    </row>
    <row r="846" spans="1:5" x14ac:dyDescent="0.3">
      <c r="A846" s="4">
        <v>843</v>
      </c>
      <c r="B846" s="5">
        <v>64799.930926377107</v>
      </c>
      <c r="C846" s="19">
        <v>-19.516840967654563</v>
      </c>
      <c r="D846" s="5">
        <v>138733.41745648897</v>
      </c>
      <c r="E846" s="6">
        <v>114.09500824022778</v>
      </c>
    </row>
    <row r="847" spans="1:5" x14ac:dyDescent="0.3">
      <c r="A847" s="4">
        <v>844</v>
      </c>
      <c r="B847" s="5">
        <v>65777.542218506336</v>
      </c>
      <c r="C847" s="19">
        <v>-18.30262292804511</v>
      </c>
      <c r="D847" s="5">
        <v>111189.49731918312</v>
      </c>
      <c r="E847" s="6">
        <v>69.038692491462911</v>
      </c>
    </row>
    <row r="848" spans="1:5" x14ac:dyDescent="0.3">
      <c r="A848" s="4">
        <v>845</v>
      </c>
      <c r="B848" s="5">
        <v>64283.617895136384</v>
      </c>
      <c r="C848" s="19">
        <v>-20.158114858070153</v>
      </c>
      <c r="D848" s="5">
        <v>111097.3534145872</v>
      </c>
      <c r="E848" s="6">
        <v>72.823741183665831</v>
      </c>
    </row>
    <row r="849" spans="1:5" x14ac:dyDescent="0.3">
      <c r="A849" s="4">
        <v>846</v>
      </c>
      <c r="B849" s="5">
        <v>115092.38721725489</v>
      </c>
      <c r="C849" s="19">
        <v>42.947666323021657</v>
      </c>
      <c r="D849" s="5">
        <v>198856.47599989839</v>
      </c>
      <c r="E849" s="6">
        <v>72.779869118993673</v>
      </c>
    </row>
    <row r="850" spans="1:5" x14ac:dyDescent="0.3">
      <c r="A850" s="4">
        <v>847</v>
      </c>
      <c r="B850" s="5">
        <v>69257.412518851153</v>
      </c>
      <c r="C850" s="19">
        <v>-13.980535685193074</v>
      </c>
      <c r="D850" s="5">
        <v>120987.76040813957</v>
      </c>
      <c r="E850" s="6">
        <v>74.692868254654982</v>
      </c>
    </row>
    <row r="851" spans="1:5" x14ac:dyDescent="0.3">
      <c r="A851" s="4">
        <v>848</v>
      </c>
      <c r="B851" s="5">
        <v>152094.8595101501</v>
      </c>
      <c r="C851" s="19">
        <v>88.905676147485863</v>
      </c>
      <c r="D851" s="5">
        <v>294765.98395103525</v>
      </c>
      <c r="E851" s="6">
        <v>93.804041044111656</v>
      </c>
    </row>
    <row r="852" spans="1:5" x14ac:dyDescent="0.3">
      <c r="A852" s="4">
        <v>849</v>
      </c>
      <c r="B852" s="5">
        <v>42921.886959512711</v>
      </c>
      <c r="C852" s="19">
        <v>-46.68992690662499</v>
      </c>
      <c r="D852" s="5">
        <v>74894.821021946802</v>
      </c>
      <c r="E852" s="6">
        <v>74.490979608127361</v>
      </c>
    </row>
    <row r="853" spans="1:5" x14ac:dyDescent="0.3">
      <c r="A853" s="4">
        <v>850</v>
      </c>
      <c r="B853" s="5">
        <v>66190.176738366776</v>
      </c>
      <c r="C853" s="19">
        <v>-17.790120380443707</v>
      </c>
      <c r="D853" s="5">
        <v>123897.16230150723</v>
      </c>
      <c r="E853" s="6">
        <v>87.183610026064358</v>
      </c>
    </row>
    <row r="854" spans="1:5" x14ac:dyDescent="0.3">
      <c r="A854" s="4">
        <v>851</v>
      </c>
      <c r="B854" s="5">
        <v>40838.166115488333</v>
      </c>
      <c r="C854" s="19">
        <v>-49.277961086154683</v>
      </c>
      <c r="D854" s="5">
        <v>84775.162215212797</v>
      </c>
      <c r="E854" s="6">
        <v>107.58807331228535</v>
      </c>
    </row>
    <row r="855" spans="1:5" x14ac:dyDescent="0.3">
      <c r="A855" s="4">
        <v>852</v>
      </c>
      <c r="B855" s="5">
        <v>50978.633614696737</v>
      </c>
      <c r="C855" s="19">
        <v>-36.683243055847214</v>
      </c>
      <c r="D855" s="5">
        <v>80191.84959264053</v>
      </c>
      <c r="E855" s="6">
        <v>57.304823426106609</v>
      </c>
    </row>
    <row r="856" spans="1:5" x14ac:dyDescent="0.3">
      <c r="A856" s="4">
        <v>853</v>
      </c>
      <c r="B856" s="5">
        <v>59887.630802168656</v>
      </c>
      <c r="C856" s="19">
        <v>-25.618042411225034</v>
      </c>
      <c r="D856" s="5">
        <v>102548.6267388594</v>
      </c>
      <c r="E856" s="6">
        <v>71.235070356374649</v>
      </c>
    </row>
    <row r="857" spans="1:5" x14ac:dyDescent="0.3">
      <c r="A857" s="4">
        <v>854</v>
      </c>
      <c r="B857" s="5">
        <v>65461.563888182689</v>
      </c>
      <c r="C857" s="19">
        <v>-18.695076034810096</v>
      </c>
      <c r="D857" s="5">
        <v>126097.35467169651</v>
      </c>
      <c r="E857" s="6">
        <v>92.628081551928773</v>
      </c>
    </row>
    <row r="858" spans="1:5" x14ac:dyDescent="0.3">
      <c r="A858" s="4">
        <v>855</v>
      </c>
      <c r="B858" s="5">
        <v>48008.301633648429</v>
      </c>
      <c r="C858" s="19">
        <v>-40.372470772481421</v>
      </c>
      <c r="D858" s="5">
        <v>97196.499261723933</v>
      </c>
      <c r="E858" s="6">
        <v>102.4576915955721</v>
      </c>
    </row>
    <row r="859" spans="1:5" x14ac:dyDescent="0.3">
      <c r="A859" s="4">
        <v>856</v>
      </c>
      <c r="B859" s="5">
        <v>67498.180668110028</v>
      </c>
      <c r="C859" s="19">
        <v>-16.165546298535119</v>
      </c>
      <c r="D859" s="5">
        <v>117695.94300489157</v>
      </c>
      <c r="E859" s="6">
        <v>74.369059787855605</v>
      </c>
    </row>
    <row r="860" spans="1:5" x14ac:dyDescent="0.3">
      <c r="A860" s="4">
        <v>857</v>
      </c>
      <c r="B860" s="5">
        <v>122251.5023125857</v>
      </c>
      <c r="C860" s="19">
        <v>51.83946899180868</v>
      </c>
      <c r="D860" s="5">
        <v>165124.58980083521</v>
      </c>
      <c r="E860" s="6">
        <v>35.069579250344937</v>
      </c>
    </row>
    <row r="861" spans="1:5" x14ac:dyDescent="0.3">
      <c r="A861" s="4">
        <v>858</v>
      </c>
      <c r="B861" s="5">
        <v>37295.115062639765</v>
      </c>
      <c r="C861" s="19">
        <v>-53.678520427338427</v>
      </c>
      <c r="D861" s="5">
        <v>79151.539416855099</v>
      </c>
      <c r="E861" s="6">
        <v>112.23031296166945</v>
      </c>
    </row>
    <row r="862" spans="1:5" x14ac:dyDescent="0.3">
      <c r="A862" s="4">
        <v>859</v>
      </c>
      <c r="B862" s="5">
        <v>55025.308511721552</v>
      </c>
      <c r="C862" s="19">
        <v>-31.657170116672599</v>
      </c>
      <c r="D862" s="5">
        <v>102256.34140440779</v>
      </c>
      <c r="E862" s="6">
        <v>85.835107826110658</v>
      </c>
    </row>
    <row r="863" spans="1:5" x14ac:dyDescent="0.3">
      <c r="A863" s="4">
        <v>860</v>
      </c>
      <c r="B863" s="5">
        <v>86182.254765540478</v>
      </c>
      <c r="C863" s="19">
        <v>7.0405479898078838</v>
      </c>
      <c r="D863" s="5">
        <v>170268.43001011951</v>
      </c>
      <c r="E863" s="6">
        <v>97.567852539175433</v>
      </c>
    </row>
    <row r="864" spans="1:5" x14ac:dyDescent="0.3">
      <c r="A864" s="4">
        <v>861</v>
      </c>
      <c r="B864" s="5">
        <v>57985.415779129471</v>
      </c>
      <c r="C864" s="19">
        <v>-27.980641753914469</v>
      </c>
      <c r="D864" s="5">
        <v>108471.26793895551</v>
      </c>
      <c r="E864" s="6">
        <v>87.066465733608268</v>
      </c>
    </row>
    <row r="865" spans="1:5" x14ac:dyDescent="0.3">
      <c r="A865" s="4">
        <v>862</v>
      </c>
      <c r="B865" s="5">
        <v>55483.226365897746</v>
      </c>
      <c r="C865" s="19">
        <v>-31.08842451842056</v>
      </c>
      <c r="D865" s="5">
        <v>95695.374045245189</v>
      </c>
      <c r="E865" s="6">
        <v>72.476224461350853</v>
      </c>
    </row>
    <row r="866" spans="1:5" x14ac:dyDescent="0.3">
      <c r="A866" s="4">
        <v>863</v>
      </c>
      <c r="B866" s="5">
        <v>40133.932418525634</v>
      </c>
      <c r="C866" s="19">
        <v>-50.15263721340213</v>
      </c>
      <c r="D866" s="5">
        <v>73549.650243743119</v>
      </c>
      <c r="E866" s="6">
        <v>83.260512517813851</v>
      </c>
    </row>
    <row r="867" spans="1:5" x14ac:dyDescent="0.3">
      <c r="A867" s="4">
        <v>864</v>
      </c>
      <c r="B867" s="5">
        <v>31765.770521548387</v>
      </c>
      <c r="C867" s="19">
        <v>-60.546106699164859</v>
      </c>
      <c r="D867" s="5">
        <v>63005.859817695527</v>
      </c>
      <c r="E867" s="6">
        <v>98.345133088949794</v>
      </c>
    </row>
    <row r="868" spans="1:5" x14ac:dyDescent="0.3">
      <c r="A868" s="4">
        <v>865</v>
      </c>
      <c r="B868" s="5">
        <v>49348.719330671222</v>
      </c>
      <c r="C868" s="19">
        <v>-38.70763796885042</v>
      </c>
      <c r="D868" s="5">
        <v>103213.590080283</v>
      </c>
      <c r="E868" s="6">
        <v>109.15150682772365</v>
      </c>
    </row>
    <row r="869" spans="1:5" x14ac:dyDescent="0.3">
      <c r="A869" s="4">
        <v>866</v>
      </c>
      <c r="B869" s="5">
        <v>68631.310386442638</v>
      </c>
      <c r="C869" s="19">
        <v>-14.758170426044526</v>
      </c>
      <c r="D869" s="5">
        <v>100614.38680641148</v>
      </c>
      <c r="E869" s="6">
        <v>46.601290635253193</v>
      </c>
    </row>
    <row r="870" spans="1:5" x14ac:dyDescent="0.3">
      <c r="A870" s="4">
        <v>867</v>
      </c>
      <c r="B870" s="5">
        <v>132305.04216595888</v>
      </c>
      <c r="C870" s="19">
        <v>64.326220679497467</v>
      </c>
      <c r="D870" s="5">
        <v>214703.98482819195</v>
      </c>
      <c r="E870" s="6">
        <v>62.27951808433324</v>
      </c>
    </row>
    <row r="871" spans="1:5" x14ac:dyDescent="0.3">
      <c r="A871" s="4">
        <v>868</v>
      </c>
      <c r="B871" s="5">
        <v>63255.845047276991</v>
      </c>
      <c r="C871" s="19">
        <v>-21.434634823151214</v>
      </c>
      <c r="D871" s="5">
        <v>101955.51809093617</v>
      </c>
      <c r="E871" s="6">
        <v>61.17960010610134</v>
      </c>
    </row>
    <row r="872" spans="1:5" x14ac:dyDescent="0.3">
      <c r="A872" s="4">
        <v>869</v>
      </c>
      <c r="B872" s="5">
        <v>62336.946041153329</v>
      </c>
      <c r="C872" s="19">
        <v>-22.575930713243139</v>
      </c>
      <c r="D872" s="5">
        <v>119420.70608175486</v>
      </c>
      <c r="E872" s="6">
        <v>91.572917291963947</v>
      </c>
    </row>
    <row r="873" spans="1:5" x14ac:dyDescent="0.3">
      <c r="A873" s="4">
        <v>870</v>
      </c>
      <c r="B873" s="5">
        <v>96212.817977517931</v>
      </c>
      <c r="C873" s="19">
        <v>19.498762105665275</v>
      </c>
      <c r="D873" s="5">
        <v>184725.11488313953</v>
      </c>
      <c r="E873" s="6">
        <v>91.996366769243025</v>
      </c>
    </row>
    <row r="874" spans="1:5" x14ac:dyDescent="0.3">
      <c r="A874" s="4">
        <v>871</v>
      </c>
      <c r="B874" s="5">
        <v>65073.017096688782</v>
      </c>
      <c r="C874" s="19">
        <v>-19.177661012359547</v>
      </c>
      <c r="D874" s="5">
        <v>125176.22571318332</v>
      </c>
      <c r="E874" s="6">
        <v>92.362720061358374</v>
      </c>
    </row>
    <row r="875" spans="1:5" x14ac:dyDescent="0.3">
      <c r="A875" s="4">
        <v>872</v>
      </c>
      <c r="B875" s="5">
        <v>51185.780852999516</v>
      </c>
      <c r="C875" s="19">
        <v>-36.425960927840393</v>
      </c>
      <c r="D875" s="5">
        <v>98014.964654068986</v>
      </c>
      <c r="E875" s="6">
        <v>91.488657632396468</v>
      </c>
    </row>
    <row r="876" spans="1:5" x14ac:dyDescent="0.3">
      <c r="A876" s="4">
        <v>873</v>
      </c>
      <c r="B876" s="5">
        <v>53135.258535324225</v>
      </c>
      <c r="C876" s="19">
        <v>-34.004660162646502</v>
      </c>
      <c r="D876" s="5">
        <v>96851.633523619181</v>
      </c>
      <c r="E876" s="6">
        <v>82.273759822270151</v>
      </c>
    </row>
    <row r="877" spans="1:5" x14ac:dyDescent="0.3">
      <c r="A877" s="4">
        <v>874</v>
      </c>
      <c r="B877" s="5">
        <v>40232.399503569904</v>
      </c>
      <c r="C877" s="19">
        <v>-50.030338594379323</v>
      </c>
      <c r="D877" s="5">
        <v>75357.084864448145</v>
      </c>
      <c r="E877" s="6">
        <v>87.304475483152714</v>
      </c>
    </row>
    <row r="878" spans="1:5" x14ac:dyDescent="0.3">
      <c r="A878" s="4">
        <v>875</v>
      </c>
      <c r="B878" s="5">
        <v>75097.39540045771</v>
      </c>
      <c r="C878" s="19">
        <v>-6.7271287094891612</v>
      </c>
      <c r="D878" s="5">
        <v>152759.25085488771</v>
      </c>
      <c r="E878" s="6">
        <v>103.41484553531754</v>
      </c>
    </row>
    <row r="879" spans="1:5" x14ac:dyDescent="0.3">
      <c r="A879" s="4">
        <v>876</v>
      </c>
      <c r="B879" s="5">
        <v>52557.77188583144</v>
      </c>
      <c r="C879" s="19">
        <v>-34.721913239705962</v>
      </c>
      <c r="D879" s="5">
        <v>99157.432141070647</v>
      </c>
      <c r="E879" s="6">
        <v>88.663690607861511</v>
      </c>
    </row>
    <row r="880" spans="1:5" x14ac:dyDescent="0.3">
      <c r="A880" s="4">
        <v>877</v>
      </c>
      <c r="B880" s="5">
        <v>100447.74630289976</v>
      </c>
      <c r="C880" s="19">
        <v>24.758650581310999</v>
      </c>
      <c r="D880" s="5">
        <v>183320.82986219096</v>
      </c>
      <c r="E880" s="6">
        <v>82.503676398460712</v>
      </c>
    </row>
    <row r="881" spans="1:5" x14ac:dyDescent="0.3">
      <c r="A881" s="4">
        <v>878</v>
      </c>
      <c r="B881" s="5">
        <v>40544.268182837208</v>
      </c>
      <c r="C881" s="19">
        <v>-49.64298977854191</v>
      </c>
      <c r="D881" s="5">
        <v>78253.552553609668</v>
      </c>
      <c r="E881" s="6">
        <v>93.007682863382342</v>
      </c>
    </row>
    <row r="882" spans="1:5" x14ac:dyDescent="0.3">
      <c r="A882" s="4">
        <v>879</v>
      </c>
      <c r="B882" s="5">
        <v>79309.341634655371</v>
      </c>
      <c r="C882" s="19">
        <v>-1.4957845744504128</v>
      </c>
      <c r="D882" s="5">
        <v>145040.69206886779</v>
      </c>
      <c r="E882" s="6">
        <v>82.879707584774792</v>
      </c>
    </row>
    <row r="883" spans="1:5" x14ac:dyDescent="0.3">
      <c r="A883" s="4">
        <v>880</v>
      </c>
      <c r="B883" s="5">
        <v>40436.085930132635</v>
      </c>
      <c r="C883" s="19">
        <v>-49.777354882399685</v>
      </c>
      <c r="D883" s="5">
        <v>68046.313302842449</v>
      </c>
      <c r="E883" s="6">
        <v>68.281157133793954</v>
      </c>
    </row>
    <row r="884" spans="1:5" x14ac:dyDescent="0.3">
      <c r="A884" s="4">
        <v>881</v>
      </c>
      <c r="B884" s="5">
        <v>152948.24590824873</v>
      </c>
      <c r="C884" s="19">
        <v>89.965603715498972</v>
      </c>
      <c r="D884" s="5">
        <v>303211.62533279217</v>
      </c>
      <c r="E884" s="6">
        <v>98.244591516717435</v>
      </c>
    </row>
    <row r="885" spans="1:5" x14ac:dyDescent="0.3">
      <c r="A885" s="4">
        <v>882</v>
      </c>
      <c r="B885" s="5">
        <v>40453.797596368713</v>
      </c>
      <c r="C885" s="19">
        <v>-49.755356543357848</v>
      </c>
      <c r="D885" s="5">
        <v>77365.840846601786</v>
      </c>
      <c r="E885" s="6">
        <v>91.244939766906924</v>
      </c>
    </row>
    <row r="886" spans="1:5" x14ac:dyDescent="0.3">
      <c r="A886" s="4">
        <v>883</v>
      </c>
      <c r="B886" s="5">
        <v>52153.662512016301</v>
      </c>
      <c r="C886" s="19">
        <v>-35.223827339524647</v>
      </c>
      <c r="D886" s="5">
        <v>94750.378571923327</v>
      </c>
      <c r="E886" s="6">
        <v>81.6754068807587</v>
      </c>
    </row>
    <row r="887" spans="1:5" x14ac:dyDescent="0.3">
      <c r="A887" s="4">
        <v>884</v>
      </c>
      <c r="B887" s="5">
        <v>39293.198567319021</v>
      </c>
      <c r="C887" s="19">
        <v>-51.196849997014752</v>
      </c>
      <c r="D887" s="5">
        <v>73172.472721101556</v>
      </c>
      <c r="E887" s="6">
        <v>86.221726377756994</v>
      </c>
    </row>
    <row r="888" spans="1:5" x14ac:dyDescent="0.3">
      <c r="A888" s="4">
        <v>885</v>
      </c>
      <c r="B888" s="5">
        <v>33175.42993320099</v>
      </c>
      <c r="C888" s="19">
        <v>-58.795273928395694</v>
      </c>
      <c r="D888" s="5">
        <v>76867.102184336167</v>
      </c>
      <c r="E888" s="6">
        <v>131.69888781881269</v>
      </c>
    </row>
    <row r="889" spans="1:5" x14ac:dyDescent="0.3">
      <c r="A889" s="4">
        <v>886</v>
      </c>
      <c r="B889" s="5">
        <v>50458.7740538324</v>
      </c>
      <c r="C889" s="19">
        <v>-37.328921826077178</v>
      </c>
      <c r="D889" s="5">
        <v>89572.453187320905</v>
      </c>
      <c r="E889" s="6">
        <v>77.516110660476457</v>
      </c>
    </row>
    <row r="890" spans="1:5" x14ac:dyDescent="0.3">
      <c r="A890" s="4">
        <v>887</v>
      </c>
      <c r="B890" s="5">
        <v>83492.55573330175</v>
      </c>
      <c r="C890" s="19">
        <v>3.6998735189235665</v>
      </c>
      <c r="D890" s="5">
        <v>143726.44797528294</v>
      </c>
      <c r="E890" s="6">
        <v>72.14282963667425</v>
      </c>
    </row>
    <row r="891" spans="1:5" x14ac:dyDescent="0.3">
      <c r="A891" s="4">
        <v>888</v>
      </c>
      <c r="B891" s="5">
        <v>87313.982790217866</v>
      </c>
      <c r="C891" s="19">
        <v>8.4461829231993928</v>
      </c>
      <c r="D891" s="5">
        <v>148245.17675480474</v>
      </c>
      <c r="E891" s="6">
        <v>69.784004826559382</v>
      </c>
    </row>
    <row r="892" spans="1:5" x14ac:dyDescent="0.3">
      <c r="A892" s="4">
        <v>889</v>
      </c>
      <c r="B892" s="5">
        <v>42190.609451950397</v>
      </c>
      <c r="C892" s="19">
        <v>-47.598192133092347</v>
      </c>
      <c r="D892" s="5">
        <v>82093.565846516882</v>
      </c>
      <c r="E892" s="6">
        <v>94.577814620124769</v>
      </c>
    </row>
    <row r="893" spans="1:5" x14ac:dyDescent="0.3">
      <c r="A893" s="4">
        <v>890</v>
      </c>
      <c r="B893" s="5">
        <v>86930.416001561403</v>
      </c>
      <c r="C893" s="19">
        <v>7.9697832355818541</v>
      </c>
      <c r="D893" s="5">
        <v>143348.91129326206</v>
      </c>
      <c r="E893" s="6">
        <v>64.900753829001928</v>
      </c>
    </row>
    <row r="894" spans="1:5" x14ac:dyDescent="0.3">
      <c r="A894" s="4">
        <v>891</v>
      </c>
      <c r="B894" s="5">
        <v>198456.17673540112</v>
      </c>
      <c r="C894" s="19">
        <v>146.48760893423903</v>
      </c>
      <c r="D894" s="5">
        <v>271479.93197592389</v>
      </c>
      <c r="E894" s="6">
        <v>36.795909526103756</v>
      </c>
    </row>
    <row r="895" spans="1:5" x14ac:dyDescent="0.3">
      <c r="A895" s="4">
        <v>892</v>
      </c>
      <c r="B895" s="5">
        <v>31576.453176498158</v>
      </c>
      <c r="C895" s="19">
        <v>-60.781243647174421</v>
      </c>
      <c r="D895" s="5">
        <v>60968.022571260721</v>
      </c>
      <c r="E895" s="6">
        <v>93.080654848969019</v>
      </c>
    </row>
    <row r="896" spans="1:5" x14ac:dyDescent="0.3">
      <c r="A896" s="4">
        <v>893</v>
      </c>
      <c r="B896" s="5">
        <v>43260.866126623114</v>
      </c>
      <c r="C896" s="19">
        <v>-46.268906176738795</v>
      </c>
      <c r="D896" s="5">
        <v>90958.577530520939</v>
      </c>
      <c r="E896" s="6">
        <v>110.25602507422809</v>
      </c>
    </row>
    <row r="897" spans="1:5" x14ac:dyDescent="0.3">
      <c r="A897" s="4">
        <v>894</v>
      </c>
      <c r="B897" s="5">
        <v>44537.256797470916</v>
      </c>
      <c r="C897" s="19">
        <v>-44.683596564820213</v>
      </c>
      <c r="D897" s="5">
        <v>80923.544380348991</v>
      </c>
      <c r="E897" s="6">
        <v>81.698537806990174</v>
      </c>
    </row>
    <row r="898" spans="1:5" x14ac:dyDescent="0.3">
      <c r="A898" s="4">
        <v>895</v>
      </c>
      <c r="B898" s="5">
        <v>38538.439847596426</v>
      </c>
      <c r="C898" s="19">
        <v>-52.134279485010651</v>
      </c>
      <c r="D898" s="5">
        <v>83926.975777640284</v>
      </c>
      <c r="E898" s="6">
        <v>117.77471041779772</v>
      </c>
    </row>
    <row r="899" spans="1:5" x14ac:dyDescent="0.3">
      <c r="A899" s="4">
        <v>896</v>
      </c>
      <c r="B899" s="5">
        <v>69474.240115159846</v>
      </c>
      <c r="C899" s="19">
        <v>-13.711230306825609</v>
      </c>
      <c r="D899" s="5">
        <v>123565.71148455047</v>
      </c>
      <c r="E899" s="6">
        <v>77.858313066438882</v>
      </c>
    </row>
    <row r="900" spans="1:5" x14ac:dyDescent="0.3">
      <c r="A900" s="4">
        <v>897</v>
      </c>
      <c r="B900" s="5">
        <v>63737.066692264387</v>
      </c>
      <c r="C900" s="19">
        <v>-20.836945325189696</v>
      </c>
      <c r="D900" s="5">
        <v>125360.22689108337</v>
      </c>
      <c r="E900" s="6">
        <v>96.683395388037269</v>
      </c>
    </row>
    <row r="901" spans="1:5" x14ac:dyDescent="0.3">
      <c r="A901" s="4">
        <v>898</v>
      </c>
      <c r="B901" s="5">
        <v>50353.644341644977</v>
      </c>
      <c r="C901" s="19">
        <v>-37.459495597129774</v>
      </c>
      <c r="D901" s="5">
        <v>93790.501144804221</v>
      </c>
      <c r="E901" s="6">
        <v>86.263581059682693</v>
      </c>
    </row>
    <row r="902" spans="1:5" x14ac:dyDescent="0.3">
      <c r="A902" s="4">
        <v>899</v>
      </c>
      <c r="B902" s="5">
        <v>47178.118771416986</v>
      </c>
      <c r="C902" s="19">
        <v>-41.403578959970297</v>
      </c>
      <c r="D902" s="5">
        <v>78957.427785909138</v>
      </c>
      <c r="E902" s="6">
        <v>67.360271757477847</v>
      </c>
    </row>
    <row r="903" spans="1:5" x14ac:dyDescent="0.3">
      <c r="A903" s="4">
        <v>900</v>
      </c>
      <c r="B903" s="5">
        <v>56937.329108641861</v>
      </c>
      <c r="C903" s="19">
        <v>-29.28239200232715</v>
      </c>
      <c r="D903" s="5">
        <v>107188.13829766351</v>
      </c>
      <c r="E903" s="6">
        <v>88.256351282544884</v>
      </c>
    </row>
    <row r="904" spans="1:5" x14ac:dyDescent="0.3">
      <c r="A904" s="4">
        <v>901</v>
      </c>
      <c r="B904" s="5">
        <v>82421.886517351741</v>
      </c>
      <c r="C904" s="19">
        <v>2.3700751758320475</v>
      </c>
      <c r="D904" s="5">
        <v>159010.58582105031</v>
      </c>
      <c r="E904" s="6">
        <v>92.922769108876011</v>
      </c>
    </row>
    <row r="905" spans="1:5" x14ac:dyDescent="0.3">
      <c r="A905" s="4">
        <v>902</v>
      </c>
      <c r="B905" s="5">
        <v>102501.29312735279</v>
      </c>
      <c r="C905" s="19">
        <v>27.309207862623552</v>
      </c>
      <c r="D905" s="5">
        <v>174998.22958320397</v>
      </c>
      <c r="E905" s="6">
        <v>70.727826199984918</v>
      </c>
    </row>
    <row r="906" spans="1:5" x14ac:dyDescent="0.3">
      <c r="A906" s="4">
        <v>903</v>
      </c>
      <c r="B906" s="5">
        <v>71604.631613061676</v>
      </c>
      <c r="C906" s="19">
        <v>-11.065229990535212</v>
      </c>
      <c r="D906" s="5">
        <v>157227.24489386863</v>
      </c>
      <c r="E906" s="6">
        <v>119.57692030802684</v>
      </c>
    </row>
    <row r="907" spans="1:5" x14ac:dyDescent="0.3">
      <c r="A907" s="4">
        <v>904</v>
      </c>
      <c r="B907" s="5">
        <v>77181.188496189934</v>
      </c>
      <c r="C907" s="19">
        <v>-4.1390047915043535</v>
      </c>
      <c r="D907" s="5">
        <v>142616.75441403844</v>
      </c>
      <c r="E907" s="6">
        <v>84.781754716149194</v>
      </c>
    </row>
    <row r="908" spans="1:5" x14ac:dyDescent="0.3">
      <c r="A908" s="4">
        <v>905</v>
      </c>
      <c r="B908" s="5">
        <v>55509.727912206945</v>
      </c>
      <c r="C908" s="19">
        <v>-31.055508925213687</v>
      </c>
      <c r="D908" s="5">
        <v>111185.58171862391</v>
      </c>
      <c r="E908" s="6">
        <v>100.29927347954717</v>
      </c>
    </row>
    <row r="909" spans="1:5" x14ac:dyDescent="0.3">
      <c r="A909" s="4">
        <v>906</v>
      </c>
      <c r="B909" s="5">
        <v>120862.29684176066</v>
      </c>
      <c r="C909" s="19">
        <v>50.114040534731352</v>
      </c>
      <c r="D909" s="5">
        <v>214803.64581839668</v>
      </c>
      <c r="E909" s="6">
        <v>77.725933919350396</v>
      </c>
    </row>
    <row r="910" spans="1:5" x14ac:dyDescent="0.3">
      <c r="A910" s="4">
        <v>907</v>
      </c>
      <c r="B910" s="5">
        <v>129087.48134779483</v>
      </c>
      <c r="C910" s="19">
        <v>60.329928471736338</v>
      </c>
      <c r="D910" s="5">
        <v>225406.21714024284</v>
      </c>
      <c r="E910" s="6">
        <v>74.615086441217784</v>
      </c>
    </row>
    <row r="911" spans="1:5" x14ac:dyDescent="0.3">
      <c r="A911" s="4">
        <v>908</v>
      </c>
      <c r="B911" s="5">
        <v>61951.560036319803</v>
      </c>
      <c r="C911" s="19">
        <v>-23.054589913529899</v>
      </c>
      <c r="D911" s="5">
        <v>106130.45652440791</v>
      </c>
      <c r="E911" s="6">
        <v>71.311999991909374</v>
      </c>
    </row>
    <row r="912" spans="1:5" x14ac:dyDescent="0.3">
      <c r="A912" s="4">
        <v>909</v>
      </c>
      <c r="B912" s="5">
        <v>37460.286447266219</v>
      </c>
      <c r="C912" s="19">
        <v>-53.473373375074019</v>
      </c>
      <c r="D912" s="5">
        <v>67319.068257045757</v>
      </c>
      <c r="E912" s="6">
        <v>79.707830990060614</v>
      </c>
    </row>
    <row r="913" spans="1:5" x14ac:dyDescent="0.3">
      <c r="A913" s="4">
        <v>910</v>
      </c>
      <c r="B913" s="5">
        <v>56820.135845209545</v>
      </c>
      <c r="C913" s="19">
        <v>-29.427949010235981</v>
      </c>
      <c r="D913" s="5">
        <v>121642.78669328323</v>
      </c>
      <c r="E913" s="6">
        <v>114.08394204594079</v>
      </c>
    </row>
    <row r="914" spans="1:5" x14ac:dyDescent="0.3">
      <c r="A914" s="4">
        <v>911</v>
      </c>
      <c r="B914" s="5">
        <v>116256.89231870815</v>
      </c>
      <c r="C914" s="19">
        <v>44.394011217751945</v>
      </c>
      <c r="D914" s="5">
        <v>218160.21837673135</v>
      </c>
      <c r="E914" s="6">
        <v>87.653578231442921</v>
      </c>
    </row>
    <row r="915" spans="1:5" x14ac:dyDescent="0.3">
      <c r="A915" s="4">
        <v>912</v>
      </c>
      <c r="B915" s="5">
        <v>66289.815874476713</v>
      </c>
      <c r="C915" s="19">
        <v>-17.66636604424707</v>
      </c>
      <c r="D915" s="5">
        <v>122294.51331882479</v>
      </c>
      <c r="E915" s="6">
        <v>84.484617592536296</v>
      </c>
    </row>
    <row r="916" spans="1:5" x14ac:dyDescent="0.3">
      <c r="A916" s="4">
        <v>913</v>
      </c>
      <c r="B916" s="5">
        <v>136327.63793962533</v>
      </c>
      <c r="C916" s="19">
        <v>69.322386736258707</v>
      </c>
      <c r="D916" s="5">
        <v>188487.77253693354</v>
      </c>
      <c r="E916" s="6">
        <v>38.26086579773947</v>
      </c>
    </row>
    <row r="917" spans="1:5" x14ac:dyDescent="0.3">
      <c r="A917" s="4">
        <v>914</v>
      </c>
      <c r="B917" s="5">
        <v>103070.0128720795</v>
      </c>
      <c r="C917" s="19">
        <v>28.0155722214325</v>
      </c>
      <c r="D917" s="5">
        <v>201324.69034738542</v>
      </c>
      <c r="E917" s="6">
        <v>95.328092756959364</v>
      </c>
    </row>
    <row r="918" spans="1:5" x14ac:dyDescent="0.3">
      <c r="A918" s="4">
        <v>915</v>
      </c>
      <c r="B918" s="5">
        <v>67949.149427320139</v>
      </c>
      <c r="C918" s="19">
        <v>-15.605431652620386</v>
      </c>
      <c r="D918" s="5">
        <v>134328.92926514626</v>
      </c>
      <c r="E918" s="6">
        <v>97.69037640247042</v>
      </c>
    </row>
    <row r="919" spans="1:5" x14ac:dyDescent="0.3">
      <c r="A919" s="4">
        <v>916</v>
      </c>
      <c r="B919" s="5">
        <v>81493.874369734811</v>
      </c>
      <c r="C919" s="19">
        <v>1.2174605326858901</v>
      </c>
      <c r="D919" s="5">
        <v>164031.94889488345</v>
      </c>
      <c r="E919" s="6">
        <v>101.28132349024949</v>
      </c>
    </row>
    <row r="920" spans="1:5" x14ac:dyDescent="0.3">
      <c r="A920" s="4">
        <v>917</v>
      </c>
      <c r="B920" s="5">
        <v>73399.633988930043</v>
      </c>
      <c r="C920" s="19">
        <v>-8.8357914770190575</v>
      </c>
      <c r="D920" s="5">
        <v>145663.1838277198</v>
      </c>
      <c r="E920" s="6">
        <v>98.452193712148983</v>
      </c>
    </row>
    <row r="921" spans="1:5" x14ac:dyDescent="0.3">
      <c r="A921" s="4">
        <v>918</v>
      </c>
      <c r="B921" s="5">
        <v>80964.968803696931</v>
      </c>
      <c r="C921" s="19">
        <v>0.5605463944149206</v>
      </c>
      <c r="D921" s="5">
        <v>141515.80673303615</v>
      </c>
      <c r="E921" s="6">
        <v>74.786464842773356</v>
      </c>
    </row>
    <row r="922" spans="1:5" x14ac:dyDescent="0.3">
      <c r="A922" s="4">
        <v>919</v>
      </c>
      <c r="B922" s="5">
        <v>72695.911170732084</v>
      </c>
      <c r="C922" s="19">
        <v>-9.7098330798730181</v>
      </c>
      <c r="D922" s="5">
        <v>130509.5264156699</v>
      </c>
      <c r="E922" s="6">
        <v>79.52801514401267</v>
      </c>
    </row>
    <row r="923" spans="1:5" x14ac:dyDescent="0.3">
      <c r="A923" s="4">
        <v>920</v>
      </c>
      <c r="B923" s="5">
        <v>59776.737836119675</v>
      </c>
      <c r="C923" s="19">
        <v>-25.755774289862821</v>
      </c>
      <c r="D923" s="5">
        <v>101339.99989309447</v>
      </c>
      <c r="E923" s="6">
        <v>69.530830154904308</v>
      </c>
    </row>
    <row r="924" spans="1:5" x14ac:dyDescent="0.3">
      <c r="A924" s="4">
        <v>921</v>
      </c>
      <c r="B924" s="5">
        <v>36957.122334611668</v>
      </c>
      <c r="C924" s="19">
        <v>-54.098315974845548</v>
      </c>
      <c r="D924" s="5">
        <v>77794.706911797373</v>
      </c>
      <c r="E924" s="6">
        <v>110.49990366522624</v>
      </c>
    </row>
    <row r="925" spans="1:5" x14ac:dyDescent="0.3">
      <c r="A925" s="4">
        <v>922</v>
      </c>
      <c r="B925" s="5">
        <v>77242.808513407304</v>
      </c>
      <c r="C925" s="19">
        <v>-4.0624711660145962</v>
      </c>
      <c r="D925" s="5">
        <v>147570.82238965677</v>
      </c>
      <c r="E925" s="6">
        <v>91.047976154365728</v>
      </c>
    </row>
    <row r="926" spans="1:5" x14ac:dyDescent="0.3">
      <c r="A926" s="4">
        <v>923</v>
      </c>
      <c r="B926" s="5">
        <v>41991.107728309842</v>
      </c>
      <c r="C926" s="19">
        <v>-47.84597833782199</v>
      </c>
      <c r="D926" s="5">
        <v>79526.718776095979</v>
      </c>
      <c r="E926" s="6">
        <v>89.389428091891304</v>
      </c>
    </row>
    <row r="927" spans="1:5" x14ac:dyDescent="0.3">
      <c r="A927" s="4">
        <v>924</v>
      </c>
      <c r="B927" s="5">
        <v>37050.681311878805</v>
      </c>
      <c r="C927" s="19">
        <v>-53.982113350264818</v>
      </c>
      <c r="D927" s="5">
        <v>71995.320549972297</v>
      </c>
      <c r="E927" s="6">
        <v>94.315780441235518</v>
      </c>
    </row>
    <row r="928" spans="1:5" x14ac:dyDescent="0.3">
      <c r="A928" s="4">
        <v>925</v>
      </c>
      <c r="B928" s="5">
        <v>106987.79099539011</v>
      </c>
      <c r="C928" s="19">
        <v>32.881552095857039</v>
      </c>
      <c r="D928" s="5">
        <v>218440.47160605234</v>
      </c>
      <c r="E928" s="6">
        <v>104.17327021497667</v>
      </c>
    </row>
    <row r="929" spans="1:5" x14ac:dyDescent="0.3">
      <c r="A929" s="4">
        <v>926</v>
      </c>
      <c r="B929" s="5">
        <v>119536.34599445311</v>
      </c>
      <c r="C929" s="19">
        <v>48.467175925659873</v>
      </c>
      <c r="D929" s="5">
        <v>204087.38807912276</v>
      </c>
      <c r="E929" s="6">
        <v>70.732496782688258</v>
      </c>
    </row>
    <row r="930" spans="1:5" x14ac:dyDescent="0.3">
      <c r="A930" s="4">
        <v>927</v>
      </c>
      <c r="B930" s="5">
        <v>38120.964089247573</v>
      </c>
      <c r="C930" s="19">
        <v>-52.652794973700203</v>
      </c>
      <c r="D930" s="5">
        <v>76468.225983088269</v>
      </c>
      <c r="E930" s="6">
        <v>100.5936308537825</v>
      </c>
    </row>
    <row r="931" spans="1:5" x14ac:dyDescent="0.3">
      <c r="A931" s="4">
        <v>928</v>
      </c>
      <c r="B931" s="5">
        <v>98963.081955967355</v>
      </c>
      <c r="C931" s="19">
        <v>22.91465977706811</v>
      </c>
      <c r="D931" s="5">
        <v>186841.67502118793</v>
      </c>
      <c r="E931" s="6">
        <v>88.799369753178553</v>
      </c>
    </row>
    <row r="932" spans="1:5" x14ac:dyDescent="0.3">
      <c r="A932" s="4">
        <v>929</v>
      </c>
      <c r="B932" s="5">
        <v>83785.990728192308</v>
      </c>
      <c r="C932" s="19">
        <v>4.0643272308613838</v>
      </c>
      <c r="D932" s="5">
        <v>125724.1918810026</v>
      </c>
      <c r="E932" s="6">
        <v>50.053953875010905</v>
      </c>
    </row>
    <row r="933" spans="1:5" x14ac:dyDescent="0.3">
      <c r="A933" s="4">
        <v>930</v>
      </c>
      <c r="B933" s="5">
        <v>66409.732163504435</v>
      </c>
      <c r="C933" s="19">
        <v>-17.517426969429966</v>
      </c>
      <c r="D933" s="5">
        <v>114159.05398306924</v>
      </c>
      <c r="E933" s="6">
        <v>71.901090794950562</v>
      </c>
    </row>
    <row r="934" spans="1:5" x14ac:dyDescent="0.3">
      <c r="A934" s="4">
        <v>931</v>
      </c>
      <c r="B934" s="5">
        <v>69009.308548489964</v>
      </c>
      <c r="C934" s="19">
        <v>-14.288687114024427</v>
      </c>
      <c r="D934" s="5">
        <v>107361.47937432698</v>
      </c>
      <c r="E934" s="6">
        <v>55.575358792196198</v>
      </c>
    </row>
    <row r="935" spans="1:5" x14ac:dyDescent="0.3">
      <c r="A935" s="4">
        <v>932</v>
      </c>
      <c r="B935" s="5">
        <v>85346.20032505726</v>
      </c>
      <c r="C935" s="19">
        <v>6.0021471530915695</v>
      </c>
      <c r="D935" s="5">
        <v>123338.34871602572</v>
      </c>
      <c r="E935" s="6">
        <v>44.515336647991504</v>
      </c>
    </row>
    <row r="936" spans="1:5" x14ac:dyDescent="0.3">
      <c r="A936" s="4">
        <v>933</v>
      </c>
      <c r="B936" s="5">
        <v>59157.98236963612</v>
      </c>
      <c r="C936" s="19">
        <v>-26.524284285154465</v>
      </c>
      <c r="D936" s="5">
        <v>105297.51437657404</v>
      </c>
      <c r="E936" s="6">
        <v>77.993755295176953</v>
      </c>
    </row>
    <row r="937" spans="1:5" x14ac:dyDescent="0.3">
      <c r="A937" s="4">
        <v>934</v>
      </c>
      <c r="B937" s="5">
        <v>87340.499332052961</v>
      </c>
      <c r="C937" s="19">
        <v>8.4791171412300645</v>
      </c>
      <c r="D937" s="5">
        <v>160716.17253995396</v>
      </c>
      <c r="E937" s="6">
        <v>84.011053027003896</v>
      </c>
    </row>
    <row r="938" spans="1:5" x14ac:dyDescent="0.3">
      <c r="A938" s="4">
        <v>935</v>
      </c>
      <c r="B938" s="5">
        <v>133130.45011948043</v>
      </c>
      <c r="C938" s="19">
        <v>65.351398309166768</v>
      </c>
      <c r="D938" s="5">
        <v>231262.26812996165</v>
      </c>
      <c r="E938" s="6">
        <v>73.711023978669772</v>
      </c>
    </row>
    <row r="939" spans="1:5" x14ac:dyDescent="0.3">
      <c r="A939" s="4">
        <v>936</v>
      </c>
      <c r="B939" s="5">
        <v>160735.31477367668</v>
      </c>
      <c r="C939" s="19">
        <v>99.637340906146989</v>
      </c>
      <c r="D939" s="5">
        <v>324959.03590024286</v>
      </c>
      <c r="E939" s="6">
        <v>102.17027997724169</v>
      </c>
    </row>
    <row r="940" spans="1:5" x14ac:dyDescent="0.3">
      <c r="A940" s="4">
        <v>937</v>
      </c>
      <c r="B940" s="5">
        <v>86516.846861537808</v>
      </c>
      <c r="C940" s="19">
        <v>7.4561198660142729</v>
      </c>
      <c r="D940" s="5">
        <v>166791.6169568132</v>
      </c>
      <c r="E940" s="6">
        <v>92.785131459711806</v>
      </c>
    </row>
    <row r="941" spans="1:5" x14ac:dyDescent="0.3">
      <c r="A941" s="4">
        <v>938</v>
      </c>
      <c r="B941" s="5">
        <v>73636.795949045758</v>
      </c>
      <c r="C941" s="19">
        <v>-8.5412303026544993</v>
      </c>
      <c r="D941" s="5">
        <v>128901.03168938466</v>
      </c>
      <c r="E941" s="6">
        <v>75.049756073824753</v>
      </c>
    </row>
    <row r="942" spans="1:5" x14ac:dyDescent="0.3">
      <c r="A942" s="4">
        <v>939</v>
      </c>
      <c r="B942" s="5">
        <v>55287.708832028649</v>
      </c>
      <c r="C942" s="19">
        <v>-31.331262258323044</v>
      </c>
      <c r="D942" s="5">
        <v>97698.516588722836</v>
      </c>
      <c r="E942" s="6">
        <v>76.709287927889747</v>
      </c>
    </row>
    <row r="943" spans="1:5" x14ac:dyDescent="0.3">
      <c r="A943" s="4">
        <v>940</v>
      </c>
      <c r="B943" s="5">
        <v>63584.962474137428</v>
      </c>
      <c r="C943" s="19">
        <v>-21.025862624976806</v>
      </c>
      <c r="D943" s="5">
        <v>121451.98990561842</v>
      </c>
      <c r="E943" s="6">
        <v>91.007409896668335</v>
      </c>
    </row>
    <row r="944" spans="1:5" x14ac:dyDescent="0.3">
      <c r="A944" s="4">
        <v>941</v>
      </c>
      <c r="B944" s="5">
        <v>135805.26244170594</v>
      </c>
      <c r="C944" s="19">
        <v>68.673583108344133</v>
      </c>
      <c r="D944" s="5">
        <v>279612.77692338591</v>
      </c>
      <c r="E944" s="6">
        <v>105.89244621018202</v>
      </c>
    </row>
    <row r="945" spans="1:5" x14ac:dyDescent="0.3">
      <c r="A945" s="4">
        <v>942</v>
      </c>
      <c r="B945" s="5">
        <v>65716.358383534898</v>
      </c>
      <c r="C945" s="19">
        <v>-18.37861480411377</v>
      </c>
      <c r="D945" s="5">
        <v>115345.42255865941</v>
      </c>
      <c r="E945" s="6">
        <v>75.520107011223217</v>
      </c>
    </row>
    <row r="946" spans="1:5" x14ac:dyDescent="0.3">
      <c r="A946" s="4">
        <v>943</v>
      </c>
      <c r="B946" s="5">
        <v>110832.11283100079</v>
      </c>
      <c r="C946" s="19">
        <v>37.656297396411503</v>
      </c>
      <c r="D946" s="5">
        <v>175048.04946898468</v>
      </c>
      <c r="E946" s="6">
        <v>57.93982898792315</v>
      </c>
    </row>
    <row r="947" spans="1:5" x14ac:dyDescent="0.3">
      <c r="A947" s="4">
        <v>944</v>
      </c>
      <c r="B947" s="5">
        <v>93226.404402286251</v>
      </c>
      <c r="C947" s="19">
        <v>15.789560640854935</v>
      </c>
      <c r="D947" s="5">
        <v>168887.04057340039</v>
      </c>
      <c r="E947" s="6">
        <v>81.157947317829482</v>
      </c>
    </row>
    <row r="948" spans="1:5" x14ac:dyDescent="0.3">
      <c r="A948" s="4">
        <v>945</v>
      </c>
      <c r="B948" s="5">
        <v>124633.78744483595</v>
      </c>
      <c r="C948" s="19">
        <v>54.798327595795904</v>
      </c>
      <c r="D948" s="5">
        <v>202667.93870979958</v>
      </c>
      <c r="E948" s="6">
        <v>62.610751759030236</v>
      </c>
    </row>
    <row r="949" spans="1:5" x14ac:dyDescent="0.3">
      <c r="A949" s="4">
        <v>946</v>
      </c>
      <c r="B949" s="5">
        <v>58090.49301438962</v>
      </c>
      <c r="C949" s="19">
        <v>-27.85013316053757</v>
      </c>
      <c r="D949" s="5">
        <v>117346.3532110891</v>
      </c>
      <c r="E949" s="6">
        <v>102.00612375939239</v>
      </c>
    </row>
    <row r="950" spans="1:5" x14ac:dyDescent="0.3">
      <c r="A950" s="4">
        <v>947</v>
      </c>
      <c r="B950" s="5">
        <v>32849.430189682716</v>
      </c>
      <c r="C950" s="19">
        <v>-59.200173884722737</v>
      </c>
      <c r="D950" s="5">
        <v>59424.859845005696</v>
      </c>
      <c r="E950" s="6">
        <v>80.900732529813368</v>
      </c>
    </row>
    <row r="951" spans="1:5" x14ac:dyDescent="0.3">
      <c r="A951" s="4">
        <v>948</v>
      </c>
      <c r="B951" s="5">
        <v>134342.88032577335</v>
      </c>
      <c r="C951" s="19">
        <v>66.857267400594651</v>
      </c>
      <c r="D951" s="5">
        <v>228492.85892209565</v>
      </c>
      <c r="E951" s="6">
        <v>70.081852025216591</v>
      </c>
    </row>
    <row r="952" spans="1:5" x14ac:dyDescent="0.3">
      <c r="A952" s="4">
        <v>949</v>
      </c>
      <c r="B952" s="5">
        <v>62364.832637060725</v>
      </c>
      <c r="C952" s="19">
        <v>-22.54129485327848</v>
      </c>
      <c r="D952" s="5">
        <v>119374.26753525807</v>
      </c>
      <c r="E952" s="6">
        <v>91.412792254202415</v>
      </c>
    </row>
    <row r="953" spans="1:5" x14ac:dyDescent="0.3">
      <c r="A953" s="4">
        <v>950</v>
      </c>
      <c r="B953" s="5">
        <v>65583.82023124749</v>
      </c>
      <c r="C953" s="19">
        <v>-18.543230553481163</v>
      </c>
      <c r="D953" s="5">
        <v>123517.86842816263</v>
      </c>
      <c r="E953" s="6">
        <v>88.335885272679491</v>
      </c>
    </row>
    <row r="954" spans="1:5" x14ac:dyDescent="0.3">
      <c r="A954" s="4">
        <v>951</v>
      </c>
      <c r="B954" s="5">
        <v>80556.53839303086</v>
      </c>
      <c r="C954" s="19">
        <v>5.326545714615942E-2</v>
      </c>
      <c r="D954" s="5">
        <v>142892.82553994231</v>
      </c>
      <c r="E954" s="6">
        <v>77.382033029741393</v>
      </c>
    </row>
    <row r="955" spans="1:5" x14ac:dyDescent="0.3">
      <c r="A955" s="4">
        <v>952</v>
      </c>
      <c r="B955" s="5">
        <v>34804.618759717581</v>
      </c>
      <c r="C955" s="19">
        <v>-56.771780052032931</v>
      </c>
      <c r="D955" s="5">
        <v>70166.622751824762</v>
      </c>
      <c r="E955" s="6">
        <v>101.6014691505103</v>
      </c>
    </row>
    <row r="956" spans="1:5" x14ac:dyDescent="0.3">
      <c r="A956" s="4">
        <v>953</v>
      </c>
      <c r="B956" s="5">
        <v>76162.369358270225</v>
      </c>
      <c r="C956" s="19">
        <v>-5.404404021567597</v>
      </c>
      <c r="D956" s="5">
        <v>142711.43216665636</v>
      </c>
      <c r="E956" s="6">
        <v>87.377878825351686</v>
      </c>
    </row>
    <row r="957" spans="1:5" x14ac:dyDescent="0.3">
      <c r="A957" s="4">
        <v>954</v>
      </c>
      <c r="B957" s="5">
        <v>135937.51650750006</v>
      </c>
      <c r="C957" s="19">
        <v>68.837846015075868</v>
      </c>
      <c r="D957" s="5">
        <v>219509.32796428626</v>
      </c>
      <c r="E957" s="6">
        <v>61.478106709544974</v>
      </c>
    </row>
    <row r="958" spans="1:5" x14ac:dyDescent="0.3">
      <c r="A958" s="4">
        <v>955</v>
      </c>
      <c r="B958" s="5">
        <v>112484.05901376023</v>
      </c>
      <c r="C958" s="19">
        <v>39.70805648687967</v>
      </c>
      <c r="D958" s="5">
        <v>178358.09234816371</v>
      </c>
      <c r="E958" s="6">
        <v>58.562994536270317</v>
      </c>
    </row>
    <row r="959" spans="1:5" x14ac:dyDescent="0.3">
      <c r="A959" s="4">
        <v>956</v>
      </c>
      <c r="B959" s="5">
        <v>56765.777197587908</v>
      </c>
      <c r="C959" s="19">
        <v>-29.495463830371921</v>
      </c>
      <c r="D959" s="5">
        <v>110702.62320565325</v>
      </c>
      <c r="E959" s="6">
        <v>95.016484704022034</v>
      </c>
    </row>
    <row r="960" spans="1:5" x14ac:dyDescent="0.3">
      <c r="A960" s="4">
        <v>957</v>
      </c>
      <c r="B960" s="5">
        <v>53690.909181822222</v>
      </c>
      <c r="C960" s="19">
        <v>-33.31452795557157</v>
      </c>
      <c r="D960" s="5">
        <v>106318.8414311688</v>
      </c>
      <c r="E960" s="6">
        <v>98.0201919679253</v>
      </c>
    </row>
    <row r="961" spans="1:5" x14ac:dyDescent="0.3">
      <c r="A961" s="4">
        <v>958</v>
      </c>
      <c r="B961" s="5">
        <v>54731.355790855334</v>
      </c>
      <c r="C961" s="19">
        <v>-32.022266857413669</v>
      </c>
      <c r="D961" s="5">
        <v>103895.64965538601</v>
      </c>
      <c r="E961" s="6">
        <v>89.828386587757763</v>
      </c>
    </row>
    <row r="962" spans="1:5" x14ac:dyDescent="0.3">
      <c r="A962" s="4">
        <v>959</v>
      </c>
      <c r="B962" s="5">
        <v>83467.597482022989</v>
      </c>
      <c r="C962" s="19">
        <v>3.6688747373180752</v>
      </c>
      <c r="D962" s="5">
        <v>159109.53361987817</v>
      </c>
      <c r="E962" s="6">
        <v>90.624312211869679</v>
      </c>
    </row>
    <row r="963" spans="1:5" x14ac:dyDescent="0.3">
      <c r="A963" s="4">
        <v>960</v>
      </c>
      <c r="B963" s="5">
        <v>98489.44984655139</v>
      </c>
      <c r="C963" s="19">
        <v>22.326396674932088</v>
      </c>
      <c r="D963" s="5">
        <v>227883.31215636592</v>
      </c>
      <c r="E963" s="6">
        <v>131.37839891624213</v>
      </c>
    </row>
    <row r="964" spans="1:5" x14ac:dyDescent="0.3">
      <c r="A964" s="4">
        <v>961</v>
      </c>
      <c r="B964" s="5">
        <v>126233.12343323306</v>
      </c>
      <c r="C964" s="19">
        <v>56.784743489457334</v>
      </c>
      <c r="D964" s="5">
        <v>219449.99682791249</v>
      </c>
      <c r="E964" s="6">
        <v>73.845018533494084</v>
      </c>
    </row>
    <row r="965" spans="1:5" x14ac:dyDescent="0.3">
      <c r="A965" s="4">
        <v>962</v>
      </c>
      <c r="B965" s="5">
        <v>55490.506251600222</v>
      </c>
      <c r="C965" s="19">
        <v>-31.079382715592175</v>
      </c>
      <c r="D965" s="5">
        <v>108878.73584303031</v>
      </c>
      <c r="E965" s="6">
        <v>96.211466064774811</v>
      </c>
    </row>
    <row r="966" spans="1:5" x14ac:dyDescent="0.3">
      <c r="A966" s="4">
        <v>963</v>
      </c>
      <c r="B966" s="5">
        <v>70294.097205181941</v>
      </c>
      <c r="C966" s="19">
        <v>-12.692946990520637</v>
      </c>
      <c r="D966" s="5">
        <v>114235.42336941535</v>
      </c>
      <c r="E966" s="6">
        <v>62.510691382766836</v>
      </c>
    </row>
    <row r="967" spans="1:5" x14ac:dyDescent="0.3">
      <c r="A967" s="4">
        <v>964</v>
      </c>
      <c r="B967" s="5">
        <v>62654.932250512931</v>
      </c>
      <c r="C967" s="19">
        <v>-22.180983769749346</v>
      </c>
      <c r="D967" s="5">
        <v>108961.45704604374</v>
      </c>
      <c r="E967" s="6">
        <v>73.907229857632984</v>
      </c>
    </row>
    <row r="968" spans="1:5" x14ac:dyDescent="0.3">
      <c r="A968" s="4">
        <v>965</v>
      </c>
      <c r="B968" s="5">
        <v>85113.953364908695</v>
      </c>
      <c r="C968" s="19">
        <v>5.713690533444046</v>
      </c>
      <c r="D968" s="5">
        <v>139623.44601629922</v>
      </c>
      <c r="E968" s="6">
        <v>64.042957113849724</v>
      </c>
    </row>
    <row r="969" spans="1:5" x14ac:dyDescent="0.3">
      <c r="A969" s="4">
        <v>966</v>
      </c>
      <c r="B969" s="5">
        <v>94122.336825666469</v>
      </c>
      <c r="C969" s="19">
        <v>16.902331452216913</v>
      </c>
      <c r="D969" s="5">
        <v>161905.15148123365</v>
      </c>
      <c r="E969" s="6">
        <v>72.01565211997935</v>
      </c>
    </row>
    <row r="970" spans="1:5" x14ac:dyDescent="0.3">
      <c r="A970" s="4">
        <v>967</v>
      </c>
      <c r="B970" s="5">
        <v>105055.2145461012</v>
      </c>
      <c r="C970" s="19">
        <v>30.481243091098953</v>
      </c>
      <c r="D970" s="5">
        <v>164075.23389086951</v>
      </c>
      <c r="E970" s="6">
        <v>56.179999821778161</v>
      </c>
    </row>
    <row r="971" spans="1:5" x14ac:dyDescent="0.3">
      <c r="A971" s="4">
        <v>968</v>
      </c>
      <c r="B971" s="5">
        <v>23704.969898214087</v>
      </c>
      <c r="C971" s="19">
        <v>-70.557825681287483</v>
      </c>
      <c r="D971" s="5">
        <v>48740.192424392801</v>
      </c>
      <c r="E971" s="6">
        <v>105.61170351059947</v>
      </c>
    </row>
    <row r="972" spans="1:5" x14ac:dyDescent="0.3">
      <c r="A972" s="4">
        <v>969</v>
      </c>
      <c r="B972" s="5">
        <v>62903.468163082041</v>
      </c>
      <c r="C972" s="19">
        <v>-21.872295857731736</v>
      </c>
      <c r="D972" s="5">
        <v>124161.84093639019</v>
      </c>
      <c r="E972" s="6">
        <v>97.384730225829742</v>
      </c>
    </row>
    <row r="973" spans="1:5" x14ac:dyDescent="0.3">
      <c r="A973" s="4">
        <v>970</v>
      </c>
      <c r="B973" s="5">
        <v>110404.92691855454</v>
      </c>
      <c r="C973" s="19">
        <v>37.125721649859372</v>
      </c>
      <c r="D973" s="5">
        <v>184750.71087951117</v>
      </c>
      <c r="E973" s="6">
        <v>67.339190411132051</v>
      </c>
    </row>
    <row r="974" spans="1:5" x14ac:dyDescent="0.3">
      <c r="A974" s="4">
        <v>971</v>
      </c>
      <c r="B974" s="5">
        <v>32900.90508592657</v>
      </c>
      <c r="C974" s="19">
        <v>-59.136240756996493</v>
      </c>
      <c r="D974" s="5">
        <v>62126.834207297958</v>
      </c>
      <c r="E974" s="6">
        <v>88.830167574547474</v>
      </c>
    </row>
    <row r="975" spans="1:5" x14ac:dyDescent="0.3">
      <c r="A975" s="4">
        <v>972</v>
      </c>
      <c r="B975" s="5">
        <v>62255.843645439774</v>
      </c>
      <c r="C975" s="19">
        <v>-22.676661947347917</v>
      </c>
      <c r="D975" s="5">
        <v>125054.91578829889</v>
      </c>
      <c r="E975" s="6">
        <v>100.87257430886834</v>
      </c>
    </row>
    <row r="976" spans="1:5" x14ac:dyDescent="0.3">
      <c r="A976" s="4">
        <v>973</v>
      </c>
      <c r="B976" s="5">
        <v>60204.946111140096</v>
      </c>
      <c r="C976" s="19">
        <v>-25.223928743042855</v>
      </c>
      <c r="D976" s="5">
        <v>97183.820222582101</v>
      </c>
      <c r="E976" s="6">
        <v>61.421654697901261</v>
      </c>
    </row>
    <row r="977" spans="1:5" x14ac:dyDescent="0.3">
      <c r="A977" s="4">
        <v>974</v>
      </c>
      <c r="B977" s="5">
        <v>46641.353877811576</v>
      </c>
      <c r="C977" s="19">
        <v>-42.070254582574073</v>
      </c>
      <c r="D977" s="5">
        <v>93437.639912232378</v>
      </c>
      <c r="E977" s="6">
        <v>100.33217765722475</v>
      </c>
    </row>
    <row r="978" spans="1:5" x14ac:dyDescent="0.3">
      <c r="A978" s="4">
        <v>975</v>
      </c>
      <c r="B978" s="5">
        <v>72110.023961693019</v>
      </c>
      <c r="C978" s="19">
        <v>-10.437519865121022</v>
      </c>
      <c r="D978" s="5">
        <v>135351.65053550727</v>
      </c>
      <c r="E978" s="6">
        <v>87.701574759439936</v>
      </c>
    </row>
    <row r="979" spans="1:5" x14ac:dyDescent="0.3">
      <c r="A979" s="4">
        <v>976</v>
      </c>
      <c r="B979" s="5">
        <v>41931.298666993527</v>
      </c>
      <c r="C979" s="19">
        <v>-47.920262710114997</v>
      </c>
      <c r="D979" s="5">
        <v>81627.951685910361</v>
      </c>
      <c r="E979" s="6">
        <v>94.670697738642403</v>
      </c>
    </row>
    <row r="980" spans="1:5" x14ac:dyDescent="0.3">
      <c r="A980" s="4">
        <v>977</v>
      </c>
      <c r="B980" s="5">
        <v>58526.55530797987</v>
      </c>
      <c r="C980" s="19">
        <v>-27.308532723294704</v>
      </c>
      <c r="D980" s="5">
        <v>127329.78065191346</v>
      </c>
      <c r="E980" s="6">
        <v>117.55898665464861</v>
      </c>
    </row>
    <row r="981" spans="1:5" x14ac:dyDescent="0.3">
      <c r="A981" s="4">
        <v>978</v>
      </c>
      <c r="B981" s="5">
        <v>50623.994251781696</v>
      </c>
      <c r="C981" s="19">
        <v>-37.123714146426764</v>
      </c>
      <c r="D981" s="5">
        <v>93200.950255194577</v>
      </c>
      <c r="E981" s="6">
        <v>84.104300011677552</v>
      </c>
    </row>
    <row r="982" spans="1:5" x14ac:dyDescent="0.3">
      <c r="A982" s="4">
        <v>979</v>
      </c>
      <c r="B982" s="5">
        <v>153561.5270531915</v>
      </c>
      <c r="C982" s="19">
        <v>90.727314464481836</v>
      </c>
      <c r="D982" s="5">
        <v>241420.75565710058</v>
      </c>
      <c r="E982" s="6">
        <v>57.214349381584306</v>
      </c>
    </row>
    <row r="983" spans="1:5" x14ac:dyDescent="0.3">
      <c r="A983" s="4">
        <v>980</v>
      </c>
      <c r="B983" s="5">
        <v>38635.679917407862</v>
      </c>
      <c r="C983" s="19">
        <v>-52.013504850052442</v>
      </c>
      <c r="D983" s="5">
        <v>73189.12720768193</v>
      </c>
      <c r="E983" s="6">
        <v>89.434034457629707</v>
      </c>
    </row>
    <row r="984" spans="1:5" x14ac:dyDescent="0.3">
      <c r="A984" s="4">
        <v>981</v>
      </c>
      <c r="B984" s="5">
        <v>46036.321021476761</v>
      </c>
      <c r="C984" s="19">
        <v>-42.821720747738887</v>
      </c>
      <c r="D984" s="5">
        <v>99079.472390189418</v>
      </c>
      <c r="E984" s="6">
        <v>115.2202221892733</v>
      </c>
    </row>
    <row r="985" spans="1:5" x14ac:dyDescent="0.3">
      <c r="A985" s="4">
        <v>982</v>
      </c>
      <c r="B985" s="5">
        <v>75005.762743961182</v>
      </c>
      <c r="C985" s="19">
        <v>-6.8409387947768341</v>
      </c>
      <c r="D985" s="5">
        <v>116460.34070458016</v>
      </c>
      <c r="E985" s="6">
        <v>55.268523969455316</v>
      </c>
    </row>
    <row r="986" spans="1:5" x14ac:dyDescent="0.3">
      <c r="A986" s="4">
        <v>983</v>
      </c>
      <c r="B986" s="5">
        <v>140607.12458389829</v>
      </c>
      <c r="C986" s="19">
        <v>74.637617774994553</v>
      </c>
      <c r="D986" s="5">
        <v>235715.20626052329</v>
      </c>
      <c r="E986" s="6">
        <v>67.641011761018817</v>
      </c>
    </row>
    <row r="987" spans="1:5" x14ac:dyDescent="0.3">
      <c r="A987" s="4">
        <v>984</v>
      </c>
      <c r="B987" s="5">
        <v>57929.980704013229</v>
      </c>
      <c r="C987" s="19">
        <v>-28.04949352432175</v>
      </c>
      <c r="D987" s="5">
        <v>102436.30144874009</v>
      </c>
      <c r="E987" s="6">
        <v>76.827784514769547</v>
      </c>
    </row>
    <row r="988" spans="1:5" x14ac:dyDescent="0.3">
      <c r="A988" s="4">
        <v>985</v>
      </c>
      <c r="B988" s="5">
        <v>37847.622199112397</v>
      </c>
      <c r="C988" s="19">
        <v>-52.992292539506956</v>
      </c>
      <c r="D988" s="5">
        <v>76476.082872804138</v>
      </c>
      <c r="E988" s="6">
        <v>102.06311104690127</v>
      </c>
    </row>
    <row r="989" spans="1:5" x14ac:dyDescent="0.3">
      <c r="A989" s="4">
        <v>986</v>
      </c>
      <c r="B989" s="5">
        <v>56849.250754107423</v>
      </c>
      <c r="C989" s="19">
        <v>-29.391787554358778</v>
      </c>
      <c r="D989" s="5">
        <v>108944.17022174312</v>
      </c>
      <c r="E989" s="6">
        <v>91.636949962567044</v>
      </c>
    </row>
    <row r="990" spans="1:5" x14ac:dyDescent="0.3">
      <c r="A990" s="4">
        <v>987</v>
      </c>
      <c r="B990" s="5">
        <v>85230.738573266266</v>
      </c>
      <c r="C990" s="19">
        <v>5.8587407265923535</v>
      </c>
      <c r="D990" s="5">
        <v>157389.84849814436</v>
      </c>
      <c r="E990" s="6">
        <v>84.663246069196617</v>
      </c>
    </row>
    <row r="991" spans="1:5" x14ac:dyDescent="0.3">
      <c r="A991" s="4">
        <v>988</v>
      </c>
      <c r="B991" s="5">
        <v>59570.303822794667</v>
      </c>
      <c r="C991" s="19">
        <v>-26.012170574343408</v>
      </c>
      <c r="D991" s="5">
        <v>120415.53433223261</v>
      </c>
      <c r="E991" s="6">
        <v>102.14020511031106</v>
      </c>
    </row>
    <row r="992" spans="1:5" x14ac:dyDescent="0.3">
      <c r="A992" s="4">
        <v>989</v>
      </c>
      <c r="B992" s="5">
        <v>136353.20429582894</v>
      </c>
      <c r="C992" s="19">
        <v>69.354140799616431</v>
      </c>
      <c r="D992" s="5">
        <v>195098.51356357994</v>
      </c>
      <c r="E992" s="6">
        <v>43.083189405874514</v>
      </c>
    </row>
    <row r="993" spans="1:5" x14ac:dyDescent="0.3">
      <c r="A993" s="4">
        <v>990</v>
      </c>
      <c r="B993" s="5">
        <v>46745.32663687726</v>
      </c>
      <c r="C993" s="19">
        <v>-41.941117776665706</v>
      </c>
      <c r="D993" s="5">
        <v>97740.676397255578</v>
      </c>
      <c r="E993" s="6">
        <v>109.09186742134823</v>
      </c>
    </row>
    <row r="994" spans="1:5" x14ac:dyDescent="0.3">
      <c r="A994" s="4">
        <v>991</v>
      </c>
      <c r="B994" s="5">
        <v>56152.823618561582</v>
      </c>
      <c r="C994" s="19">
        <v>-30.25676773417192</v>
      </c>
      <c r="D994" s="5">
        <v>105731.48848376884</v>
      </c>
      <c r="E994" s="6">
        <v>88.292380810604158</v>
      </c>
    </row>
    <row r="995" spans="1:5" x14ac:dyDescent="0.3">
      <c r="A995" s="4">
        <v>992</v>
      </c>
      <c r="B995" s="5">
        <v>41312.104383706414</v>
      </c>
      <c r="C995" s="19">
        <v>-48.689317727015187</v>
      </c>
      <c r="D995" s="5">
        <v>79100.429683992479</v>
      </c>
      <c r="E995" s="6">
        <v>91.470347163408761</v>
      </c>
    </row>
    <row r="996" spans="1:5" x14ac:dyDescent="0.3">
      <c r="A996" s="4">
        <v>993</v>
      </c>
      <c r="B996" s="5">
        <v>160266.49318129974</v>
      </c>
      <c r="C996" s="19">
        <v>99.055052588279167</v>
      </c>
      <c r="D996" s="5">
        <v>247377.23113996282</v>
      </c>
      <c r="E996" s="6">
        <v>54.353680691147346</v>
      </c>
    </row>
    <row r="997" spans="1:5" x14ac:dyDescent="0.3">
      <c r="A997" s="4">
        <v>994</v>
      </c>
      <c r="B997" s="5">
        <v>68216.822742470453</v>
      </c>
      <c r="C997" s="19">
        <v>-15.272974600830713</v>
      </c>
      <c r="D997" s="5">
        <v>129716.10619620675</v>
      </c>
      <c r="E997" s="6">
        <v>90.152664667344666</v>
      </c>
    </row>
    <row r="998" spans="1:5" x14ac:dyDescent="0.3">
      <c r="A998" s="4">
        <v>995</v>
      </c>
      <c r="B998" s="5">
        <v>35398.651894598479</v>
      </c>
      <c r="C998" s="19">
        <v>-56.033975820120688</v>
      </c>
      <c r="D998" s="5">
        <v>80462.175180326522</v>
      </c>
      <c r="E998" s="6">
        <v>127.30293633753985</v>
      </c>
    </row>
    <row r="999" spans="1:5" x14ac:dyDescent="0.3">
      <c r="A999" s="4">
        <v>996</v>
      </c>
      <c r="B999" s="5">
        <v>106110.10202603287</v>
      </c>
      <c r="C999" s="19">
        <v>31.791440117466642</v>
      </c>
      <c r="D999" s="5">
        <v>212912.48787058226</v>
      </c>
      <c r="E999" s="6">
        <v>100.65242027412876</v>
      </c>
    </row>
    <row r="1000" spans="1:5" x14ac:dyDescent="0.3">
      <c r="A1000" s="4">
        <v>997</v>
      </c>
      <c r="B1000" s="5">
        <v>131846.10668131872</v>
      </c>
      <c r="C1000" s="19">
        <v>63.756211158378598</v>
      </c>
      <c r="D1000" s="5">
        <v>212253.64103833132</v>
      </c>
      <c r="E1000" s="6">
        <v>60.985899683305213</v>
      </c>
    </row>
    <row r="1001" spans="1:5" x14ac:dyDescent="0.3">
      <c r="A1001" s="4">
        <v>998</v>
      </c>
      <c r="B1001" s="5">
        <v>76761.44598635046</v>
      </c>
      <c r="C1001" s="19">
        <v>-4.6603356430823917</v>
      </c>
      <c r="D1001" s="5">
        <v>160518.10813967767</v>
      </c>
      <c r="E1001" s="6">
        <v>109.11292912358715</v>
      </c>
    </row>
    <row r="1002" spans="1:5" x14ac:dyDescent="0.3">
      <c r="A1002" s="4">
        <v>999</v>
      </c>
      <c r="B1002" s="5">
        <v>47084.381008199474</v>
      </c>
      <c r="C1002" s="19">
        <v>-41.520003641239519</v>
      </c>
      <c r="D1002" s="5">
        <v>102674.1673646797</v>
      </c>
      <c r="E1002" s="6">
        <v>118.06417577582593</v>
      </c>
    </row>
    <row r="1003" spans="1:5" x14ac:dyDescent="0.3">
      <c r="A1003" s="4">
        <v>1000</v>
      </c>
      <c r="B1003" s="5">
        <v>51632.183415451822</v>
      </c>
      <c r="C1003" s="19">
        <v>-35.871517614202986</v>
      </c>
      <c r="D1003" s="5">
        <v>90300.620266853672</v>
      </c>
      <c r="E1003" s="6">
        <v>74.892120172918453</v>
      </c>
    </row>
    <row r="1004" spans="1:5" x14ac:dyDescent="0.3">
      <c r="A1004" s="4">
        <v>1001</v>
      </c>
      <c r="B1004" s="5">
        <v>44747.755121066577</v>
      </c>
      <c r="C1004" s="19">
        <v>-44.422152303818763</v>
      </c>
      <c r="D1004" s="5">
        <v>82186.766185002372</v>
      </c>
      <c r="E1004" s="6">
        <v>83.666791691881031</v>
      </c>
    </row>
    <row r="1005" spans="1:5" x14ac:dyDescent="0.3">
      <c r="A1005" s="4">
        <v>1002</v>
      </c>
      <c r="B1005" s="5">
        <v>50730.467367267163</v>
      </c>
      <c r="C1005" s="19">
        <v>-36.991471834378281</v>
      </c>
      <c r="D1005" s="5">
        <v>104798.07430266378</v>
      </c>
      <c r="E1005" s="6">
        <v>106.57817627417066</v>
      </c>
    </row>
    <row r="1006" spans="1:5" x14ac:dyDescent="0.3">
      <c r="A1006" s="4">
        <v>1003</v>
      </c>
      <c r="B1006" s="5">
        <v>94103.314498198306</v>
      </c>
      <c r="C1006" s="19">
        <v>16.87870523865621</v>
      </c>
      <c r="D1006" s="5">
        <v>164320.31321761766</v>
      </c>
      <c r="E1006" s="6">
        <v>74.616924062503358</v>
      </c>
    </row>
    <row r="1007" spans="1:5" x14ac:dyDescent="0.3">
      <c r="A1007" s="4">
        <v>1004</v>
      </c>
      <c r="B1007" s="5">
        <v>112041.63692893118</v>
      </c>
      <c r="C1007" s="19">
        <v>39.158557027487142</v>
      </c>
      <c r="D1007" s="5">
        <v>220500.37326934133</v>
      </c>
      <c r="E1007" s="6">
        <v>96.802170437054841</v>
      </c>
    </row>
    <row r="1008" spans="1:5" x14ac:dyDescent="0.3">
      <c r="A1008" s="4">
        <v>1005</v>
      </c>
      <c r="B1008" s="5">
        <v>64953.450853706017</v>
      </c>
      <c r="C1008" s="19">
        <v>-19.326165321103566</v>
      </c>
      <c r="D1008" s="5">
        <v>114907.40209798323</v>
      </c>
      <c r="E1008" s="6">
        <v>76.907309138644493</v>
      </c>
    </row>
    <row r="1009" spans="1:5" x14ac:dyDescent="0.3">
      <c r="A1009" s="4">
        <v>1006</v>
      </c>
      <c r="B1009" s="5">
        <v>85482.372449176852</v>
      </c>
      <c r="C1009" s="19">
        <v>6.1712763877159267</v>
      </c>
      <c r="D1009" s="5">
        <v>119717.17454346931</v>
      </c>
      <c r="E1009" s="6">
        <v>40.048961105573675</v>
      </c>
    </row>
    <row r="1010" spans="1:5" x14ac:dyDescent="0.3">
      <c r="A1010" s="4">
        <v>1007</v>
      </c>
      <c r="B1010" s="5">
        <v>67409.399366108759</v>
      </c>
      <c r="C1010" s="19">
        <v>-16.275814929163523</v>
      </c>
      <c r="D1010" s="5">
        <v>124170.57957468179</v>
      </c>
      <c r="E1010" s="6">
        <v>84.203658157961129</v>
      </c>
    </row>
    <row r="1011" spans="1:5" x14ac:dyDescent="0.3">
      <c r="A1011" s="4">
        <v>1008</v>
      </c>
      <c r="B1011" s="5">
        <v>43246.994458179506</v>
      </c>
      <c r="C1011" s="19">
        <v>-46.286135141051417</v>
      </c>
      <c r="D1011" s="5">
        <v>73995.290608400712</v>
      </c>
      <c r="E1011" s="6">
        <v>71.099267210245713</v>
      </c>
    </row>
    <row r="1012" spans="1:5" x14ac:dyDescent="0.3">
      <c r="A1012" s="4">
        <v>1009</v>
      </c>
      <c r="B1012" s="5">
        <v>102889.92391422484</v>
      </c>
      <c r="C1012" s="19">
        <v>27.791897164564716</v>
      </c>
      <c r="D1012" s="5">
        <v>192525.53600070762</v>
      </c>
      <c r="E1012" s="6">
        <v>87.11796906488955</v>
      </c>
    </row>
    <row r="1013" spans="1:5" x14ac:dyDescent="0.3">
      <c r="A1013" s="4">
        <v>1010</v>
      </c>
      <c r="B1013" s="5">
        <v>83684.053217366221</v>
      </c>
      <c r="C1013" s="19">
        <v>3.9377182549274634</v>
      </c>
      <c r="D1013" s="5">
        <v>159729.36214729157</v>
      </c>
      <c r="E1013" s="6">
        <v>90.87192362970336</v>
      </c>
    </row>
    <row r="1014" spans="1:5" x14ac:dyDescent="0.3">
      <c r="A1014" s="4">
        <v>1011</v>
      </c>
      <c r="B1014" s="5">
        <v>82260.748674349728</v>
      </c>
      <c r="C1014" s="19">
        <v>2.1699378846489017</v>
      </c>
      <c r="D1014" s="5">
        <v>159004.26962992758</v>
      </c>
      <c r="E1014" s="6">
        <v>93.293000844651644</v>
      </c>
    </row>
    <row r="1015" spans="1:5" x14ac:dyDescent="0.3">
      <c r="A1015" s="4">
        <v>1012</v>
      </c>
      <c r="B1015" s="5">
        <v>63201.700152433383</v>
      </c>
      <c r="C1015" s="19">
        <v>-21.501884156911135</v>
      </c>
      <c r="D1015" s="5">
        <v>122220.60437285727</v>
      </c>
      <c r="E1015" s="6">
        <v>93.381830042671012</v>
      </c>
    </row>
    <row r="1016" spans="1:5" x14ac:dyDescent="0.3">
      <c r="A1016" s="4">
        <v>1013</v>
      </c>
      <c r="B1016" s="5">
        <v>70923.140989317893</v>
      </c>
      <c r="C1016" s="19">
        <v>-11.911658643555532</v>
      </c>
      <c r="D1016" s="5">
        <v>118939.51764911901</v>
      </c>
      <c r="E1016" s="6">
        <v>67.701988363760023</v>
      </c>
    </row>
    <row r="1017" spans="1:5" x14ac:dyDescent="0.3">
      <c r="A1017" s="4">
        <v>1014</v>
      </c>
      <c r="B1017" s="5">
        <v>62282.871097434254</v>
      </c>
      <c r="C1017" s="19">
        <v>-22.643093165930818</v>
      </c>
      <c r="D1017" s="5">
        <v>120570.05592896233</v>
      </c>
      <c r="E1017" s="6">
        <v>93.584614524825952</v>
      </c>
    </row>
    <row r="1018" spans="1:5" x14ac:dyDescent="0.3">
      <c r="A1018" s="4">
        <v>1015</v>
      </c>
      <c r="B1018" s="5">
        <v>64612.693260424712</v>
      </c>
      <c r="C1018" s="19">
        <v>-19.749394901435956</v>
      </c>
      <c r="D1018" s="5">
        <v>120239.30072203116</v>
      </c>
      <c r="E1018" s="6">
        <v>86.092383175238652</v>
      </c>
    </row>
    <row r="1019" spans="1:5" x14ac:dyDescent="0.3">
      <c r="A1019" s="4">
        <v>1016</v>
      </c>
      <c r="B1019" s="5">
        <v>34404.60127227132</v>
      </c>
      <c r="C1019" s="19">
        <v>-57.268611925116787</v>
      </c>
      <c r="D1019" s="5">
        <v>74425.858493598862</v>
      </c>
      <c r="E1019" s="6">
        <v>116.32530458529979</v>
      </c>
    </row>
    <row r="1020" spans="1:5" x14ac:dyDescent="0.3">
      <c r="A1020" s="4">
        <v>1017</v>
      </c>
      <c r="B1020" s="5">
        <v>56040.014058855173</v>
      </c>
      <c r="C1020" s="19">
        <v>-30.396880070781279</v>
      </c>
      <c r="D1020" s="5">
        <v>119189.88271716669</v>
      </c>
      <c r="E1020" s="6">
        <v>112.68710352568672</v>
      </c>
    </row>
    <row r="1021" spans="1:5" x14ac:dyDescent="0.3">
      <c r="A1021" s="4">
        <v>1018</v>
      </c>
      <c r="B1021" s="5">
        <v>120400.76792330184</v>
      </c>
      <c r="C1021" s="19">
        <v>49.540809902980371</v>
      </c>
      <c r="D1021" s="5">
        <v>223913.96354058493</v>
      </c>
      <c r="E1021" s="6">
        <v>85.97386661455802</v>
      </c>
    </row>
    <row r="1022" spans="1:5" x14ac:dyDescent="0.3">
      <c r="A1022" s="4">
        <v>1019</v>
      </c>
      <c r="B1022" s="5">
        <v>77454.102985896257</v>
      </c>
      <c r="C1022" s="19">
        <v>-3.8000380678789663</v>
      </c>
      <c r="D1022" s="5">
        <v>140001.24351843912</v>
      </c>
      <c r="E1022" s="6">
        <v>80.753811768928713</v>
      </c>
    </row>
    <row r="1023" spans="1:5" x14ac:dyDescent="0.3">
      <c r="A1023" s="4">
        <v>1020</v>
      </c>
      <c r="B1023" s="5">
        <v>53199.512049963472</v>
      </c>
      <c r="C1023" s="19">
        <v>-33.924855666512499</v>
      </c>
      <c r="D1023" s="5">
        <v>102845.91519221617</v>
      </c>
      <c r="E1023" s="6">
        <v>93.321162599435496</v>
      </c>
    </row>
    <row r="1024" spans="1:5" x14ac:dyDescent="0.3">
      <c r="A1024" s="4">
        <v>1021</v>
      </c>
      <c r="B1024" s="5">
        <v>45456.316964375503</v>
      </c>
      <c r="C1024" s="19">
        <v>-43.542100508947627</v>
      </c>
      <c r="D1024" s="5">
        <v>87570.041663354787</v>
      </c>
      <c r="E1024" s="6">
        <v>92.646583602415845</v>
      </c>
    </row>
    <row r="1025" spans="1:5" x14ac:dyDescent="0.3">
      <c r="A1025" s="4">
        <v>1022</v>
      </c>
      <c r="B1025" s="5">
        <v>48075.266910307873</v>
      </c>
      <c r="C1025" s="19">
        <v>-40.289298199085465</v>
      </c>
      <c r="D1025" s="5">
        <v>91225.22586885214</v>
      </c>
      <c r="E1025" s="6">
        <v>89.755006538075889</v>
      </c>
    </row>
    <row r="1026" spans="1:5" x14ac:dyDescent="0.3">
      <c r="A1026" s="4">
        <v>1023</v>
      </c>
      <c r="B1026" s="5">
        <v>37685.335736223948</v>
      </c>
      <c r="C1026" s="19">
        <v>-53.193856445744572</v>
      </c>
      <c r="D1026" s="5">
        <v>74775.071513562361</v>
      </c>
      <c r="E1026" s="6">
        <v>98.419544506504081</v>
      </c>
    </row>
    <row r="1027" spans="1:5" x14ac:dyDescent="0.3">
      <c r="A1027" s="4">
        <v>1024</v>
      </c>
      <c r="B1027" s="5">
        <v>96838.432329106872</v>
      </c>
      <c r="C1027" s="19">
        <v>20.275791010357434</v>
      </c>
      <c r="D1027" s="5">
        <v>174568.91786997524</v>
      </c>
      <c r="E1027" s="6">
        <v>80.268219622453344</v>
      </c>
    </row>
    <row r="1028" spans="1:5" x14ac:dyDescent="0.3">
      <c r="A1028" s="4">
        <v>1025</v>
      </c>
      <c r="B1028" s="5">
        <v>52275.915250536898</v>
      </c>
      <c r="C1028" s="19">
        <v>-35.071986335131108</v>
      </c>
      <c r="D1028" s="5">
        <v>92744.066605591943</v>
      </c>
      <c r="E1028" s="6">
        <v>77.412611833016967</v>
      </c>
    </row>
    <row r="1029" spans="1:5" x14ac:dyDescent="0.3">
      <c r="A1029" s="4">
        <v>1026</v>
      </c>
      <c r="B1029" s="5">
        <v>42855.662150660493</v>
      </c>
      <c r="C1029" s="19">
        <v>-46.772179800209017</v>
      </c>
      <c r="D1029" s="5">
        <v>87219.101765008265</v>
      </c>
      <c r="E1029" s="6">
        <v>103.51826897082266</v>
      </c>
    </row>
    <row r="1030" spans="1:5" x14ac:dyDescent="0.3">
      <c r="A1030" s="4">
        <v>1027</v>
      </c>
      <c r="B1030" s="5">
        <v>96938.817161937739</v>
      </c>
      <c r="C1030" s="19">
        <v>20.400471520809539</v>
      </c>
      <c r="D1030" s="5">
        <v>171022.15818039989</v>
      </c>
      <c r="E1030" s="6">
        <v>76.422782108744755</v>
      </c>
    </row>
    <row r="1031" spans="1:5" x14ac:dyDescent="0.3">
      <c r="A1031" s="4">
        <v>1028</v>
      </c>
      <c r="B1031" s="5">
        <v>51636.456279091479</v>
      </c>
      <c r="C1031" s="19">
        <v>-35.866210609104094</v>
      </c>
      <c r="D1031" s="5">
        <v>108514.87155208713</v>
      </c>
      <c r="E1031" s="6">
        <v>110.15166293668905</v>
      </c>
    </row>
    <row r="1032" spans="1:5" x14ac:dyDescent="0.3">
      <c r="A1032" s="4">
        <v>1029</v>
      </c>
      <c r="B1032" s="5">
        <v>94754.505247760986</v>
      </c>
      <c r="C1032" s="19">
        <v>17.687500678839491</v>
      </c>
      <c r="D1032" s="5">
        <v>195328.00325629467</v>
      </c>
      <c r="E1032" s="6">
        <v>106.14112515870077</v>
      </c>
    </row>
    <row r="1033" spans="1:5" x14ac:dyDescent="0.3">
      <c r="A1033" s="4">
        <v>1030</v>
      </c>
      <c r="B1033" s="5">
        <v>96082.129736001603</v>
      </c>
      <c r="C1033" s="19">
        <v>19.336443992431999</v>
      </c>
      <c r="D1033" s="5">
        <v>173497.68057462623</v>
      </c>
      <c r="E1033" s="6">
        <v>80.57226775815036</v>
      </c>
    </row>
    <row r="1034" spans="1:5" x14ac:dyDescent="0.3">
      <c r="A1034" s="4">
        <v>1031</v>
      </c>
      <c r="B1034" s="5">
        <v>66311.529042749316</v>
      </c>
      <c r="C1034" s="19">
        <v>-17.639397738105426</v>
      </c>
      <c r="D1034" s="5">
        <v>120529.41852168179</v>
      </c>
      <c r="E1034" s="6">
        <v>81.762387719908574</v>
      </c>
    </row>
    <row r="1035" spans="1:5" x14ac:dyDescent="0.3">
      <c r="A1035" s="4">
        <v>1032</v>
      </c>
      <c r="B1035" s="5">
        <v>55222.85902325534</v>
      </c>
      <c r="C1035" s="19">
        <v>-31.411807366907336</v>
      </c>
      <c r="D1035" s="5">
        <v>110116.14836369778</v>
      </c>
      <c r="E1035" s="6">
        <v>99.403200615393501</v>
      </c>
    </row>
    <row r="1036" spans="1:5" x14ac:dyDescent="0.3">
      <c r="A1036" s="4">
        <v>1033</v>
      </c>
      <c r="B1036" s="5">
        <v>47904.351700750609</v>
      </c>
      <c r="C1036" s="19">
        <v>-40.501579227709904</v>
      </c>
      <c r="D1036" s="5">
        <v>93179.297720724091</v>
      </c>
      <c r="E1036" s="6">
        <v>94.511133983813153</v>
      </c>
    </row>
    <row r="1037" spans="1:5" x14ac:dyDescent="0.3">
      <c r="A1037" s="4">
        <v>1034</v>
      </c>
      <c r="B1037" s="5">
        <v>122725.79652269755</v>
      </c>
      <c r="C1037" s="19">
        <v>52.428554439815144</v>
      </c>
      <c r="D1037" s="5">
        <v>212153.48840889308</v>
      </c>
      <c r="E1037" s="6">
        <v>72.867884682790645</v>
      </c>
    </row>
    <row r="1038" spans="1:5" x14ac:dyDescent="0.3">
      <c r="A1038" s="4">
        <v>1035</v>
      </c>
      <c r="B1038" s="5">
        <v>51457.33679697226</v>
      </c>
      <c r="C1038" s="19">
        <v>-36.088681552500177</v>
      </c>
      <c r="D1038" s="5">
        <v>90871.578372125048</v>
      </c>
      <c r="E1038" s="6">
        <v>76.595960903814046</v>
      </c>
    </row>
    <row r="1039" spans="1:5" x14ac:dyDescent="0.3">
      <c r="A1039" s="4">
        <v>1036</v>
      </c>
      <c r="B1039" s="5">
        <v>47655.596231813935</v>
      </c>
      <c r="C1039" s="19">
        <v>-40.810539834309047</v>
      </c>
      <c r="D1039" s="5">
        <v>91552.39326507895</v>
      </c>
      <c r="E1039" s="6">
        <v>92.112575445987972</v>
      </c>
    </row>
    <row r="1040" spans="1:5" x14ac:dyDescent="0.3">
      <c r="A1040" s="4">
        <v>1037</v>
      </c>
      <c r="B1040" s="5">
        <v>48575.564541346495</v>
      </c>
      <c r="C1040" s="19">
        <v>-39.667915842241058</v>
      </c>
      <c r="D1040" s="5">
        <v>104518.67332277405</v>
      </c>
      <c r="E1040" s="6">
        <v>115.16718191470521</v>
      </c>
    </row>
    <row r="1041" spans="1:5" x14ac:dyDescent="0.3">
      <c r="A1041" s="4">
        <v>1038</v>
      </c>
      <c r="B1041" s="5">
        <v>66965.317694300204</v>
      </c>
      <c r="C1041" s="19">
        <v>-16.827375637710041</v>
      </c>
      <c r="D1041" s="5">
        <v>136380.53602235441</v>
      </c>
      <c r="E1041" s="6">
        <v>103.65846189954316</v>
      </c>
    </row>
    <row r="1042" spans="1:5" x14ac:dyDescent="0.3">
      <c r="A1042" s="4">
        <v>1039</v>
      </c>
      <c r="B1042" s="5">
        <v>50985.694083056427</v>
      </c>
      <c r="C1042" s="19">
        <v>-36.674473774928053</v>
      </c>
      <c r="D1042" s="5">
        <v>94725.799293090458</v>
      </c>
      <c r="E1042" s="6">
        <v>85.788976685853825</v>
      </c>
    </row>
    <row r="1043" spans="1:5" x14ac:dyDescent="0.3">
      <c r="A1043" s="4">
        <v>1040</v>
      </c>
      <c r="B1043" s="5">
        <v>51679.580901472335</v>
      </c>
      <c r="C1043" s="19">
        <v>-35.812648733471356</v>
      </c>
      <c r="D1043" s="5">
        <v>106195.78979690169</v>
      </c>
      <c r="E1043" s="6">
        <v>105.48887576964891</v>
      </c>
    </row>
    <row r="1044" spans="1:5" x14ac:dyDescent="0.3">
      <c r="A1044" s="4">
        <v>1041</v>
      </c>
      <c r="B1044" s="5">
        <v>67754.012789389279</v>
      </c>
      <c r="C1044" s="19">
        <v>-15.847796310099268</v>
      </c>
      <c r="D1044" s="5">
        <v>112977.42809819918</v>
      </c>
      <c r="E1044" s="6">
        <v>66.746475148837504</v>
      </c>
    </row>
    <row r="1045" spans="1:5" x14ac:dyDescent="0.3">
      <c r="A1045" s="4">
        <v>1042</v>
      </c>
      <c r="B1045" s="5">
        <v>52166.033708876748</v>
      </c>
      <c r="C1045" s="19">
        <v>-35.208461999004896</v>
      </c>
      <c r="D1045" s="5">
        <v>94257.343376646881</v>
      </c>
      <c r="E1045" s="6">
        <v>80.687195623629975</v>
      </c>
    </row>
    <row r="1046" spans="1:5" x14ac:dyDescent="0.3">
      <c r="A1046" s="4">
        <v>1043</v>
      </c>
      <c r="B1046" s="5">
        <v>74080.8429987087</v>
      </c>
      <c r="C1046" s="19">
        <v>-7.9897125956916533</v>
      </c>
      <c r="D1046" s="5">
        <v>136310.23788559416</v>
      </c>
      <c r="E1046" s="6">
        <v>84.002006953363335</v>
      </c>
    </row>
    <row r="1047" spans="1:5" x14ac:dyDescent="0.3">
      <c r="A1047" s="4">
        <v>1044</v>
      </c>
      <c r="B1047" s="5">
        <v>95149.915225452816</v>
      </c>
      <c r="C1047" s="19">
        <v>18.178609907855563</v>
      </c>
      <c r="D1047" s="5">
        <v>194363.59275042493</v>
      </c>
      <c r="E1047" s="6">
        <v>104.27090480311037</v>
      </c>
    </row>
    <row r="1048" spans="1:5" x14ac:dyDescent="0.3">
      <c r="A1048" s="4">
        <v>1045</v>
      </c>
      <c r="B1048" s="5">
        <v>19745.228386374354</v>
      </c>
      <c r="C1048" s="19">
        <v>-75.475925149425208</v>
      </c>
      <c r="D1048" s="5">
        <v>40440.092970488484</v>
      </c>
      <c r="E1048" s="6">
        <v>104.80944651111299</v>
      </c>
    </row>
    <row r="1049" spans="1:5" x14ac:dyDescent="0.3">
      <c r="A1049" s="4">
        <v>1046</v>
      </c>
      <c r="B1049" s="5">
        <v>64772.316421923344</v>
      </c>
      <c r="C1049" s="19">
        <v>-19.55113888312729</v>
      </c>
      <c r="D1049" s="5">
        <v>115965.43368216888</v>
      </c>
      <c r="E1049" s="6">
        <v>79.035489369835645</v>
      </c>
    </row>
    <row r="1050" spans="1:5" x14ac:dyDescent="0.3">
      <c r="A1050" s="4">
        <v>1047</v>
      </c>
      <c r="B1050" s="5">
        <v>45935.57397879679</v>
      </c>
      <c r="C1050" s="19">
        <v>-42.946851132017585</v>
      </c>
      <c r="D1050" s="5">
        <v>103571.54080852908</v>
      </c>
      <c r="E1050" s="6">
        <v>125.47131087626386</v>
      </c>
    </row>
    <row r="1051" spans="1:5" x14ac:dyDescent="0.3">
      <c r="A1051" s="4">
        <v>1048</v>
      </c>
      <c r="B1051" s="5">
        <v>61976.901156146268</v>
      </c>
      <c r="C1051" s="19">
        <v>-23.023115599469776</v>
      </c>
      <c r="D1051" s="5">
        <v>123175.83772682218</v>
      </c>
      <c r="E1051" s="6">
        <v>98.744750752364453</v>
      </c>
    </row>
    <row r="1052" spans="1:5" x14ac:dyDescent="0.3">
      <c r="A1052" s="4">
        <v>1049</v>
      </c>
      <c r="B1052" s="5">
        <v>42423.835773427207</v>
      </c>
      <c r="C1052" s="19">
        <v>-47.308519121815941</v>
      </c>
      <c r="D1052" s="5">
        <v>75460.852253024103</v>
      </c>
      <c r="E1052" s="6">
        <v>77.873713862267309</v>
      </c>
    </row>
    <row r="1053" spans="1:5" x14ac:dyDescent="0.3">
      <c r="A1053" s="4">
        <v>1050</v>
      </c>
      <c r="B1053" s="5">
        <v>105129.41196553974</v>
      </c>
      <c r="C1053" s="19">
        <v>30.573398169400601</v>
      </c>
      <c r="D1053" s="5">
        <v>196359.66118833539</v>
      </c>
      <c r="E1053" s="6">
        <v>86.778996968707418</v>
      </c>
    </row>
    <row r="1054" spans="1:5" x14ac:dyDescent="0.3">
      <c r="A1054" s="4">
        <v>1051</v>
      </c>
      <c r="B1054" s="5">
        <v>56400.948266732652</v>
      </c>
      <c r="C1054" s="19">
        <v>-29.948590622975829</v>
      </c>
      <c r="D1054" s="5">
        <v>110085.59545218601</v>
      </c>
      <c r="E1054" s="6">
        <v>95.18394430456506</v>
      </c>
    </row>
    <row r="1055" spans="1:5" x14ac:dyDescent="0.3">
      <c r="A1055" s="4">
        <v>1052</v>
      </c>
      <c r="B1055" s="5">
        <v>72866.273618483523</v>
      </c>
      <c r="C1055" s="19">
        <v>-9.4982385954422117</v>
      </c>
      <c r="D1055" s="5">
        <v>137001.67036852156</v>
      </c>
      <c r="E1055" s="6">
        <v>88.017945155039769</v>
      </c>
    </row>
    <row r="1056" spans="1:5" x14ac:dyDescent="0.3">
      <c r="A1056" s="4">
        <v>1053</v>
      </c>
      <c r="B1056" s="5">
        <v>65906.515119750809</v>
      </c>
      <c r="C1056" s="19">
        <v>-18.142435310970097</v>
      </c>
      <c r="D1056" s="5">
        <v>129672.93868813186</v>
      </c>
      <c r="E1056" s="6">
        <v>96.752837640586449</v>
      </c>
    </row>
    <row r="1057" spans="1:5" x14ac:dyDescent="0.3">
      <c r="A1057" s="4">
        <v>1054</v>
      </c>
      <c r="B1057" s="5">
        <v>42955.488245619672</v>
      </c>
      <c r="C1057" s="19">
        <v>-46.648193256376032</v>
      </c>
      <c r="D1057" s="5">
        <v>86264.758529387429</v>
      </c>
      <c r="E1057" s="6">
        <v>100.8236014828307</v>
      </c>
    </row>
    <row r="1058" spans="1:5" x14ac:dyDescent="0.3">
      <c r="A1058" s="4">
        <v>1055</v>
      </c>
      <c r="B1058" s="5">
        <v>86028.115679053386</v>
      </c>
      <c r="C1058" s="19">
        <v>6.849103331866262</v>
      </c>
      <c r="D1058" s="5">
        <v>150438.25192098288</v>
      </c>
      <c r="E1058" s="6">
        <v>74.871029934243268</v>
      </c>
    </row>
    <row r="1059" spans="1:5" x14ac:dyDescent="0.3">
      <c r="A1059" s="4">
        <v>1056</v>
      </c>
      <c r="B1059" s="5">
        <v>102829.88108971481</v>
      </c>
      <c r="C1059" s="19">
        <v>27.717322452451477</v>
      </c>
      <c r="D1059" s="5">
        <v>183454.0331546026</v>
      </c>
      <c r="E1059" s="6">
        <v>78.405373234406994</v>
      </c>
    </row>
    <row r="1060" spans="1:5" x14ac:dyDescent="0.3">
      <c r="A1060" s="4">
        <v>1057</v>
      </c>
      <c r="B1060" s="5">
        <v>111384.03723417244</v>
      </c>
      <c r="C1060" s="19">
        <v>38.341801514691589</v>
      </c>
      <c r="D1060" s="5">
        <v>223985.10201159888</v>
      </c>
      <c r="E1060" s="6">
        <v>101.092640896734</v>
      </c>
    </row>
    <row r="1061" spans="1:5" x14ac:dyDescent="0.3">
      <c r="A1061" s="4">
        <v>1058</v>
      </c>
      <c r="B1061" s="5">
        <v>81007.499594385154</v>
      </c>
      <c r="C1061" s="19">
        <v>0.61337071601212556</v>
      </c>
      <c r="D1061" s="5">
        <v>156793.1473165408</v>
      </c>
      <c r="E1061" s="6">
        <v>93.55386612551186</v>
      </c>
    </row>
    <row r="1062" spans="1:5" x14ac:dyDescent="0.3">
      <c r="A1062" s="4">
        <v>1059</v>
      </c>
      <c r="B1062" s="5">
        <v>60204.482376411062</v>
      </c>
      <c r="C1062" s="19">
        <v>-25.224504713347333</v>
      </c>
      <c r="D1062" s="5">
        <v>103997.02321656488</v>
      </c>
      <c r="E1062" s="6">
        <v>72.739668396040116</v>
      </c>
    </row>
    <row r="1063" spans="1:5" x14ac:dyDescent="0.3">
      <c r="A1063" s="4">
        <v>1060</v>
      </c>
      <c r="B1063" s="5">
        <v>44343.692243657169</v>
      </c>
      <c r="C1063" s="19">
        <v>-44.924008653921305</v>
      </c>
      <c r="D1063" s="5">
        <v>85530.37060972066</v>
      </c>
      <c r="E1063" s="6">
        <v>92.880579586727464</v>
      </c>
    </row>
    <row r="1064" spans="1:5" x14ac:dyDescent="0.3">
      <c r="A1064" s="4">
        <v>1061</v>
      </c>
      <c r="B1064" s="5">
        <v>43140.814612090348</v>
      </c>
      <c r="C1064" s="19">
        <v>-46.418013205065598</v>
      </c>
      <c r="D1064" s="5">
        <v>72597.111396490989</v>
      </c>
      <c r="E1064" s="6">
        <v>68.279417181300559</v>
      </c>
    </row>
    <row r="1065" spans="1:5" x14ac:dyDescent="0.3">
      <c r="A1065" s="4">
        <v>1062</v>
      </c>
      <c r="B1065" s="5">
        <v>38513.687236381818</v>
      </c>
      <c r="C1065" s="19">
        <v>-52.165022856436686</v>
      </c>
      <c r="D1065" s="5">
        <v>62281.689364184233</v>
      </c>
      <c r="E1065" s="6">
        <v>61.713130664233198</v>
      </c>
    </row>
    <row r="1066" spans="1:5" x14ac:dyDescent="0.3">
      <c r="A1066" s="4">
        <v>1063</v>
      </c>
      <c r="B1066" s="5">
        <v>76809.440161555845</v>
      </c>
      <c r="C1066" s="19">
        <v>-4.6007256592373471</v>
      </c>
      <c r="D1066" s="5">
        <v>141232.15692471399</v>
      </c>
      <c r="E1066" s="6">
        <v>83.87343616573132</v>
      </c>
    </row>
    <row r="1067" spans="1:5" x14ac:dyDescent="0.3">
      <c r="A1067" s="4">
        <v>1064</v>
      </c>
      <c r="B1067" s="5">
        <v>117605.28381134591</v>
      </c>
      <c r="C1067" s="19">
        <v>46.068747677936223</v>
      </c>
      <c r="D1067" s="5">
        <v>234642.60104507394</v>
      </c>
      <c r="E1067" s="6">
        <v>99.517056921924535</v>
      </c>
    </row>
    <row r="1068" spans="1:5" x14ac:dyDescent="0.3">
      <c r="A1068" s="4">
        <v>1065</v>
      </c>
      <c r="B1068" s="5">
        <v>115462.09872424044</v>
      </c>
      <c r="C1068" s="19">
        <v>43.406857399114209</v>
      </c>
      <c r="D1068" s="5">
        <v>182963.02652583492</v>
      </c>
      <c r="E1068" s="6">
        <v>58.461545864334056</v>
      </c>
    </row>
    <row r="1069" spans="1:5" x14ac:dyDescent="0.3">
      <c r="A1069" s="4">
        <v>1066</v>
      </c>
      <c r="B1069" s="5">
        <v>115597.37350614958</v>
      </c>
      <c r="C1069" s="19">
        <v>43.574872111935882</v>
      </c>
      <c r="D1069" s="5">
        <v>215232.91528904962</v>
      </c>
      <c r="E1069" s="6">
        <v>86.191873362589504</v>
      </c>
    </row>
    <row r="1070" spans="1:5" x14ac:dyDescent="0.3">
      <c r="A1070" s="4">
        <v>1067</v>
      </c>
      <c r="B1070" s="5">
        <v>54121.109152648991</v>
      </c>
      <c r="C1070" s="19">
        <v>-32.780208672004754</v>
      </c>
      <c r="D1070" s="5">
        <v>96978.472261054892</v>
      </c>
      <c r="E1070" s="6">
        <v>79.187887645699178</v>
      </c>
    </row>
    <row r="1071" spans="1:5" x14ac:dyDescent="0.3">
      <c r="A1071" s="4">
        <v>1068</v>
      </c>
      <c r="B1071" s="5">
        <v>59728.264907422563</v>
      </c>
      <c r="C1071" s="19">
        <v>-25.81597889769683</v>
      </c>
      <c r="D1071" s="5">
        <v>114997.25880744214</v>
      </c>
      <c r="E1071" s="6">
        <v>92.534069063759418</v>
      </c>
    </row>
    <row r="1072" spans="1:5" x14ac:dyDescent="0.3">
      <c r="A1072" s="4">
        <v>1069</v>
      </c>
      <c r="B1072" s="5">
        <v>132983.793203926</v>
      </c>
      <c r="C1072" s="19">
        <v>65.169246697444066</v>
      </c>
      <c r="D1072" s="5">
        <v>227719.61378336683</v>
      </c>
      <c r="E1072" s="6">
        <v>71.238621110894883</v>
      </c>
    </row>
    <row r="1073" spans="1:5" x14ac:dyDescent="0.3">
      <c r="A1073" s="4">
        <v>1070</v>
      </c>
      <c r="B1073" s="5">
        <v>45971.65579752464</v>
      </c>
      <c r="C1073" s="19">
        <v>-42.902036597289928</v>
      </c>
      <c r="D1073" s="5">
        <v>91568.781202383689</v>
      </c>
      <c r="E1073" s="6">
        <v>99.185301494653245</v>
      </c>
    </row>
    <row r="1074" spans="1:5" x14ac:dyDescent="0.3">
      <c r="A1074" s="4">
        <v>1071</v>
      </c>
      <c r="B1074" s="5">
        <v>66131.224865595184</v>
      </c>
      <c r="C1074" s="19">
        <v>-17.863340102806085</v>
      </c>
      <c r="D1074" s="5">
        <v>124543.34618587649</v>
      </c>
      <c r="E1074" s="6">
        <v>88.32759628904175</v>
      </c>
    </row>
    <row r="1075" spans="1:5" x14ac:dyDescent="0.3">
      <c r="A1075" s="4">
        <v>1072</v>
      </c>
      <c r="B1075" s="5">
        <v>81596.039202641157</v>
      </c>
      <c r="C1075" s="19">
        <v>1.3443518484136272</v>
      </c>
      <c r="D1075" s="5">
        <v>156939.591031068</v>
      </c>
      <c r="E1075" s="6">
        <v>92.337266078949668</v>
      </c>
    </row>
    <row r="1076" spans="1:5" x14ac:dyDescent="0.3">
      <c r="A1076" s="4">
        <v>1073</v>
      </c>
      <c r="B1076" s="5">
        <v>59949.107483421751</v>
      </c>
      <c r="C1076" s="19">
        <v>-25.541686812641217</v>
      </c>
      <c r="D1076" s="5">
        <v>123386.91728385555</v>
      </c>
      <c r="E1076" s="6">
        <v>105.81943996076475</v>
      </c>
    </row>
    <row r="1077" spans="1:5" x14ac:dyDescent="0.3">
      <c r="A1077" s="4">
        <v>1074</v>
      </c>
      <c r="B1077" s="5">
        <v>124372.65042371472</v>
      </c>
      <c r="C1077" s="19">
        <v>54.473988787101625</v>
      </c>
      <c r="D1077" s="5">
        <v>287899.84917679708</v>
      </c>
      <c r="E1077" s="6">
        <v>131.48163860460906</v>
      </c>
    </row>
    <row r="1078" spans="1:5" x14ac:dyDescent="0.3">
      <c r="A1078" s="4">
        <v>1075</v>
      </c>
      <c r="B1078" s="5">
        <v>68948.563236742397</v>
      </c>
      <c r="C1078" s="19">
        <v>-14.364134333117967</v>
      </c>
      <c r="D1078" s="5">
        <v>116818.84692390311</v>
      </c>
      <c r="E1078" s="6">
        <v>69.428979285315762</v>
      </c>
    </row>
    <row r="1079" spans="1:5" x14ac:dyDescent="0.3">
      <c r="A1079" s="4">
        <v>1076</v>
      </c>
      <c r="B1079" s="5">
        <v>80044.856371541042</v>
      </c>
      <c r="C1079" s="19">
        <v>-0.58225660160952031</v>
      </c>
      <c r="D1079" s="5">
        <v>155749.55411147291</v>
      </c>
      <c r="E1079" s="6">
        <v>94.577841939694878</v>
      </c>
    </row>
    <row r="1080" spans="1:5" x14ac:dyDescent="0.3">
      <c r="A1080" s="4">
        <v>1077</v>
      </c>
      <c r="B1080" s="5">
        <v>53156.87099864737</v>
      </c>
      <c r="C1080" s="19">
        <v>-33.977816934608292</v>
      </c>
      <c r="D1080" s="5">
        <v>96994.869683582743</v>
      </c>
      <c r="E1080" s="6">
        <v>82.46911050511396</v>
      </c>
    </row>
    <row r="1081" spans="1:5" x14ac:dyDescent="0.3">
      <c r="A1081" s="4">
        <v>1078</v>
      </c>
      <c r="B1081" s="5">
        <v>34057.335726078752</v>
      </c>
      <c r="C1081" s="19">
        <v>-57.699924548156844</v>
      </c>
      <c r="D1081" s="5">
        <v>72984.579633251575</v>
      </c>
      <c r="E1081" s="6">
        <v>114.29914606433829</v>
      </c>
    </row>
    <row r="1082" spans="1:5" x14ac:dyDescent="0.3">
      <c r="A1082" s="4">
        <v>1079</v>
      </c>
      <c r="B1082" s="5">
        <v>51681.100094081419</v>
      </c>
      <c r="C1082" s="19">
        <v>-35.810761857689087</v>
      </c>
      <c r="D1082" s="5">
        <v>96742.994291230731</v>
      </c>
      <c r="E1082" s="6">
        <v>87.192211688833339</v>
      </c>
    </row>
    <row r="1083" spans="1:5" x14ac:dyDescent="0.3">
      <c r="A1083" s="4">
        <v>1080</v>
      </c>
      <c r="B1083" s="5">
        <v>86790.776414198233</v>
      </c>
      <c r="C1083" s="19">
        <v>7.7963473235940786</v>
      </c>
      <c r="D1083" s="5">
        <v>135413.05698836685</v>
      </c>
      <c r="E1083" s="6">
        <v>56.022405355754401</v>
      </c>
    </row>
    <row r="1084" spans="1:5" x14ac:dyDescent="0.3">
      <c r="A1084" s="4">
        <v>1081</v>
      </c>
      <c r="B1084" s="5">
        <v>41334.29177961206</v>
      </c>
      <c r="C1084" s="19">
        <v>-48.661760418115939</v>
      </c>
      <c r="D1084" s="5">
        <v>76172.550514300936</v>
      </c>
      <c r="E1084" s="6">
        <v>84.284155442751967</v>
      </c>
    </row>
    <row r="1085" spans="1:5" x14ac:dyDescent="0.3">
      <c r="A1085" s="4">
        <v>1082</v>
      </c>
      <c r="B1085" s="5">
        <v>86274.057187976112</v>
      </c>
      <c r="C1085" s="19">
        <v>7.1545689287011101</v>
      </c>
      <c r="D1085" s="5">
        <v>163513.10145095963</v>
      </c>
      <c r="E1085" s="6">
        <v>89.527543714204981</v>
      </c>
    </row>
    <row r="1086" spans="1:5" x14ac:dyDescent="0.3">
      <c r="A1086" s="4">
        <v>1083</v>
      </c>
      <c r="B1086" s="5">
        <v>173545.9056921817</v>
      </c>
      <c r="C1086" s="19">
        <v>115.54841999917534</v>
      </c>
      <c r="D1086" s="5">
        <v>311008.21280063095</v>
      </c>
      <c r="E1086" s="6">
        <v>79.208038103915911</v>
      </c>
    </row>
    <row r="1087" spans="1:5" x14ac:dyDescent="0.3">
      <c r="A1087" s="4">
        <v>1084</v>
      </c>
      <c r="B1087" s="5">
        <v>231902.66435685559</v>
      </c>
      <c r="C1087" s="19">
        <v>188.0289955349329</v>
      </c>
      <c r="D1087" s="5">
        <v>358987.09130381886</v>
      </c>
      <c r="E1087" s="6">
        <v>54.800761905608674</v>
      </c>
    </row>
    <row r="1088" spans="1:5" x14ac:dyDescent="0.3">
      <c r="A1088" s="4">
        <v>1085</v>
      </c>
      <c r="B1088" s="5">
        <v>93349.357662388429</v>
      </c>
      <c r="C1088" s="19">
        <v>15.942271710834191</v>
      </c>
      <c r="D1088" s="5">
        <v>183572.92831238321</v>
      </c>
      <c r="E1088" s="6">
        <v>96.651517385155969</v>
      </c>
    </row>
    <row r="1089" spans="1:5" x14ac:dyDescent="0.3">
      <c r="A1089" s="4">
        <v>1086</v>
      </c>
      <c r="B1089" s="5">
        <v>56626.302795112577</v>
      </c>
      <c r="C1089" s="19">
        <v>-29.668694578536098</v>
      </c>
      <c r="D1089" s="5">
        <v>108190.03657766717</v>
      </c>
      <c r="E1089" s="6">
        <v>91.059686466065841</v>
      </c>
    </row>
    <row r="1090" spans="1:5" x14ac:dyDescent="0.3">
      <c r="A1090" s="4">
        <v>1087</v>
      </c>
      <c r="B1090" s="5">
        <v>85441.789103244257</v>
      </c>
      <c r="C1090" s="19">
        <v>6.1208708419373554</v>
      </c>
      <c r="D1090" s="5">
        <v>162120.24119565601</v>
      </c>
      <c r="E1090" s="6">
        <v>89.743500103628151</v>
      </c>
    </row>
    <row r="1091" spans="1:5" x14ac:dyDescent="0.3">
      <c r="A1091" s="4">
        <v>1088</v>
      </c>
      <c r="B1091" s="5">
        <v>82971.650898078398</v>
      </c>
      <c r="C1091" s="19">
        <v>3.0528964914074264</v>
      </c>
      <c r="D1091" s="5">
        <v>138183.9589763495</v>
      </c>
      <c r="E1091" s="6">
        <v>66.543581428906833</v>
      </c>
    </row>
    <row r="1092" spans="1:5" x14ac:dyDescent="0.3">
      <c r="A1092" s="4">
        <v>1089</v>
      </c>
      <c r="B1092" s="5">
        <v>94651.519534539257</v>
      </c>
      <c r="C1092" s="19">
        <v>17.559589808923576</v>
      </c>
      <c r="D1092" s="5">
        <v>180078.38173054371</v>
      </c>
      <c r="E1092" s="6">
        <v>90.254084262040152</v>
      </c>
    </row>
    <row r="1093" spans="1:5" x14ac:dyDescent="0.3">
      <c r="A1093" s="4">
        <v>1090</v>
      </c>
      <c r="B1093" s="5">
        <v>44080.357216901961</v>
      </c>
      <c r="C1093" s="19">
        <v>-45.251077441405137</v>
      </c>
      <c r="D1093" s="5">
        <v>77091.321434726517</v>
      </c>
      <c r="E1093" s="6">
        <v>74.888150418996574</v>
      </c>
    </row>
    <row r="1094" spans="1:5" x14ac:dyDescent="0.3">
      <c r="A1094" s="4">
        <v>1091</v>
      </c>
      <c r="B1094" s="5">
        <v>70449.195130815613</v>
      </c>
      <c r="C1094" s="19">
        <v>-12.500311430020671</v>
      </c>
      <c r="D1094" s="5">
        <v>129068.81507299904</v>
      </c>
      <c r="E1094" s="6">
        <v>83.208360057675463</v>
      </c>
    </row>
    <row r="1095" spans="1:5" x14ac:dyDescent="0.3">
      <c r="A1095" s="4">
        <v>1092</v>
      </c>
      <c r="B1095" s="5">
        <v>66283.658165099318</v>
      </c>
      <c r="C1095" s="19">
        <v>-17.674014075595423</v>
      </c>
      <c r="D1095" s="5">
        <v>119935.98594407325</v>
      </c>
      <c r="E1095" s="6">
        <v>80.943522527583994</v>
      </c>
    </row>
    <row r="1096" spans="1:5" x14ac:dyDescent="0.3">
      <c r="A1096" s="4">
        <v>1093</v>
      </c>
      <c r="B1096" s="5">
        <v>35241.366229468331</v>
      </c>
      <c r="C1096" s="19">
        <v>-56.229328608606835</v>
      </c>
      <c r="D1096" s="5">
        <v>71301.029689534611</v>
      </c>
      <c r="E1096" s="6">
        <v>102.32197930485935</v>
      </c>
    </row>
    <row r="1097" spans="1:5" x14ac:dyDescent="0.3">
      <c r="A1097" s="4">
        <v>1094</v>
      </c>
      <c r="B1097" s="5">
        <v>68464.092478508086</v>
      </c>
      <c r="C1097" s="19">
        <v>-14.965859312204655</v>
      </c>
      <c r="D1097" s="5">
        <v>139367.46569480241</v>
      </c>
      <c r="E1097" s="6">
        <v>103.56286142046207</v>
      </c>
    </row>
    <row r="1098" spans="1:5" x14ac:dyDescent="0.3">
      <c r="A1098" s="4">
        <v>1095</v>
      </c>
      <c r="B1098" s="5">
        <v>56760.383177318698</v>
      </c>
      <c r="C1098" s="19">
        <v>-29.502163340463124</v>
      </c>
      <c r="D1098" s="5">
        <v>112536.10153767528</v>
      </c>
      <c r="E1098" s="6">
        <v>98.265225211947495</v>
      </c>
    </row>
    <row r="1099" spans="1:5" x14ac:dyDescent="0.3">
      <c r="A1099" s="4">
        <v>1096</v>
      </c>
      <c r="B1099" s="5">
        <v>69969.468521214541</v>
      </c>
      <c r="C1099" s="19">
        <v>-13.096144056083775</v>
      </c>
      <c r="D1099" s="5">
        <v>111574.96879971751</v>
      </c>
      <c r="E1099" s="6">
        <v>59.462364310925551</v>
      </c>
    </row>
    <row r="1100" spans="1:5" x14ac:dyDescent="0.3">
      <c r="A1100" s="4">
        <v>1097</v>
      </c>
      <c r="B1100" s="5">
        <v>84980.774270038659</v>
      </c>
      <c r="C1100" s="19">
        <v>5.5482787171199348</v>
      </c>
      <c r="D1100" s="5">
        <v>134873.03667500024</v>
      </c>
      <c r="E1100" s="6">
        <v>58.710058637994663</v>
      </c>
    </row>
    <row r="1101" spans="1:5" x14ac:dyDescent="0.3">
      <c r="A1101" s="4">
        <v>1098</v>
      </c>
      <c r="B1101" s="5">
        <v>73497.321768421447</v>
      </c>
      <c r="C1101" s="19">
        <v>-8.7144607752740821</v>
      </c>
      <c r="D1101" s="5">
        <v>137023.88785780064</v>
      </c>
      <c r="E1101" s="6">
        <v>86.433851684475599</v>
      </c>
    </row>
    <row r="1102" spans="1:5" x14ac:dyDescent="0.3">
      <c r="A1102" s="4">
        <v>1099</v>
      </c>
      <c r="B1102" s="5">
        <v>73171.515208719633</v>
      </c>
      <c r="C1102" s="19">
        <v>-9.1191207923974744</v>
      </c>
      <c r="D1102" s="5">
        <v>139770.90732311213</v>
      </c>
      <c r="E1102" s="6">
        <v>91.018194613600187</v>
      </c>
    </row>
    <row r="1103" spans="1:5" x14ac:dyDescent="0.3">
      <c r="A1103" s="4">
        <v>1100</v>
      </c>
      <c r="B1103" s="5">
        <v>114264.79686651191</v>
      </c>
      <c r="C1103" s="19">
        <v>41.919778100607388</v>
      </c>
      <c r="D1103" s="5">
        <v>201362.1069955079</v>
      </c>
      <c r="E1103" s="6">
        <v>76.224097462621032</v>
      </c>
    </row>
    <row r="1104" spans="1:5" x14ac:dyDescent="0.3">
      <c r="A1104" s="4">
        <v>1101</v>
      </c>
      <c r="B1104" s="5">
        <v>96141.012707880116</v>
      </c>
      <c r="C1104" s="19">
        <v>19.409578138136254</v>
      </c>
      <c r="D1104" s="5">
        <v>168112.47135334549</v>
      </c>
      <c r="E1104" s="6">
        <v>74.860308434806299</v>
      </c>
    </row>
    <row r="1105" spans="1:5" x14ac:dyDescent="0.3">
      <c r="A1105" s="4">
        <v>1102</v>
      </c>
      <c r="B1105" s="5">
        <v>46314.318758449415</v>
      </c>
      <c r="C1105" s="19">
        <v>-42.476440501980242</v>
      </c>
      <c r="D1105" s="5">
        <v>98604.746413124318</v>
      </c>
      <c r="E1105" s="6">
        <v>112.90337212427471</v>
      </c>
    </row>
    <row r="1106" spans="1:5" x14ac:dyDescent="0.3">
      <c r="A1106" s="4">
        <v>1103</v>
      </c>
      <c r="B1106" s="5">
        <v>59075.170445735574</v>
      </c>
      <c r="C1106" s="19">
        <v>-26.627138796660578</v>
      </c>
      <c r="D1106" s="5">
        <v>94181.785640927948</v>
      </c>
      <c r="E1106" s="6">
        <v>59.427023113611</v>
      </c>
    </row>
    <row r="1107" spans="1:5" x14ac:dyDescent="0.3">
      <c r="A1107" s="4">
        <v>1104</v>
      </c>
      <c r="B1107" s="5">
        <v>69091.628346423939</v>
      </c>
      <c r="C1107" s="19">
        <v>-14.186443835460469</v>
      </c>
      <c r="D1107" s="5">
        <v>115606.85063294532</v>
      </c>
      <c r="E1107" s="6">
        <v>67.323962974638647</v>
      </c>
    </row>
    <row r="1108" spans="1:5" x14ac:dyDescent="0.3">
      <c r="A1108" s="4">
        <v>1105</v>
      </c>
      <c r="B1108" s="5">
        <v>86723.780876292498</v>
      </c>
      <c r="C1108" s="19">
        <v>7.7131371649621023</v>
      </c>
      <c r="D1108" s="5">
        <v>171418.07181728867</v>
      </c>
      <c r="E1108" s="6">
        <v>97.65982304416444</v>
      </c>
    </row>
    <row r="1109" spans="1:5" x14ac:dyDescent="0.3">
      <c r="A1109" s="4">
        <v>1106</v>
      </c>
      <c r="B1109" s="5">
        <v>63887.170935554423</v>
      </c>
      <c r="C1109" s="19">
        <v>-20.650512044915562</v>
      </c>
      <c r="D1109" s="5">
        <v>123301.62781998917</v>
      </c>
      <c r="E1109" s="6">
        <v>92.999041927163304</v>
      </c>
    </row>
    <row r="1110" spans="1:5" x14ac:dyDescent="0.3">
      <c r="A1110" s="4">
        <v>1107</v>
      </c>
      <c r="B1110" s="5">
        <v>68305.043812558753</v>
      </c>
      <c r="C1110" s="19">
        <v>-15.163401792458625</v>
      </c>
      <c r="D1110" s="5">
        <v>132006.52237140344</v>
      </c>
      <c r="E1110" s="6">
        <v>93.260285043741305</v>
      </c>
    </row>
    <row r="1111" spans="1:5" x14ac:dyDescent="0.3">
      <c r="A1111" s="4">
        <v>1108</v>
      </c>
      <c r="B1111" s="5">
        <v>56019.657426944061</v>
      </c>
      <c r="C1111" s="19">
        <v>-30.422163524328884</v>
      </c>
      <c r="D1111" s="5">
        <v>97944.178393221693</v>
      </c>
      <c r="E1111" s="6">
        <v>74.838945634310477</v>
      </c>
    </row>
    <row r="1112" spans="1:5" x14ac:dyDescent="0.3">
      <c r="A1112" s="4">
        <v>1109</v>
      </c>
      <c r="B1112" s="5">
        <v>36267.282427081816</v>
      </c>
      <c r="C1112" s="19">
        <v>-54.955114650258693</v>
      </c>
      <c r="D1112" s="5">
        <v>65268.213161449668</v>
      </c>
      <c r="E1112" s="6">
        <v>79.964443965925682</v>
      </c>
    </row>
    <row r="1113" spans="1:5" x14ac:dyDescent="0.3">
      <c r="A1113" s="4">
        <v>1110</v>
      </c>
      <c r="B1113" s="5">
        <v>148423.18845932273</v>
      </c>
      <c r="C1113" s="19">
        <v>84.345367504040837</v>
      </c>
      <c r="D1113" s="5">
        <v>207167.0764426532</v>
      </c>
      <c r="E1113" s="6">
        <v>39.578645758192955</v>
      </c>
    </row>
    <row r="1114" spans="1:5" x14ac:dyDescent="0.3">
      <c r="A1114" s="4">
        <v>1111</v>
      </c>
      <c r="B1114" s="5">
        <v>22712.509484633418</v>
      </c>
      <c r="C1114" s="19">
        <v>-71.79048670665604</v>
      </c>
      <c r="D1114" s="5">
        <v>51297.274664509336</v>
      </c>
      <c r="E1114" s="6">
        <v>125.8547198371694</v>
      </c>
    </row>
    <row r="1115" spans="1:5" x14ac:dyDescent="0.3">
      <c r="A1115" s="4">
        <v>1112</v>
      </c>
      <c r="B1115" s="5">
        <v>84450.932814772154</v>
      </c>
      <c r="C1115" s="19">
        <v>4.8902021806712623</v>
      </c>
      <c r="D1115" s="5">
        <v>154522.93180748017</v>
      </c>
      <c r="E1115" s="6">
        <v>82.973623448776195</v>
      </c>
    </row>
    <row r="1116" spans="1:5" x14ac:dyDescent="0.3">
      <c r="A1116" s="4">
        <v>1113</v>
      </c>
      <c r="B1116" s="5">
        <v>56430.602513233396</v>
      </c>
      <c r="C1116" s="19">
        <v>-29.911759296105817</v>
      </c>
      <c r="D1116" s="5">
        <v>102213.77358415966</v>
      </c>
      <c r="E1116" s="6">
        <v>81.131813292600881</v>
      </c>
    </row>
    <row r="1117" spans="1:5" x14ac:dyDescent="0.3">
      <c r="A1117" s="4">
        <v>1114</v>
      </c>
      <c r="B1117" s="5">
        <v>84037.738926182137</v>
      </c>
      <c r="C1117" s="19">
        <v>4.3770048829092234</v>
      </c>
      <c r="D1117" s="5">
        <v>148642.91836694026</v>
      </c>
      <c r="E1117" s="6">
        <v>76.876389424882817</v>
      </c>
    </row>
    <row r="1118" spans="1:5" x14ac:dyDescent="0.3">
      <c r="A1118" s="4">
        <v>1115</v>
      </c>
      <c r="B1118" s="5">
        <v>73815.276321770973</v>
      </c>
      <c r="C1118" s="19">
        <v>-8.3195531493483301</v>
      </c>
      <c r="D1118" s="5">
        <v>132389.51701648004</v>
      </c>
      <c r="E1118" s="6">
        <v>79.352464169308078</v>
      </c>
    </row>
    <row r="1119" spans="1:5" x14ac:dyDescent="0.3">
      <c r="A1119" s="4">
        <v>1116</v>
      </c>
      <c r="B1119" s="5">
        <v>44468.364156506825</v>
      </c>
      <c r="C1119" s="19">
        <v>-44.769162973604978</v>
      </c>
      <c r="D1119" s="5">
        <v>97483.475688156192</v>
      </c>
      <c r="E1119" s="6">
        <v>119.2198376019909</v>
      </c>
    </row>
    <row r="1120" spans="1:5" x14ac:dyDescent="0.3">
      <c r="A1120" s="4">
        <v>1117</v>
      </c>
      <c r="B1120" s="5">
        <v>51453.746313302363</v>
      </c>
      <c r="C1120" s="19">
        <v>-36.093141024355724</v>
      </c>
      <c r="D1120" s="5">
        <v>98928.921931284334</v>
      </c>
      <c r="E1120" s="6">
        <v>92.267675377620051</v>
      </c>
    </row>
    <row r="1121" spans="1:5" x14ac:dyDescent="0.3">
      <c r="A1121" s="4">
        <v>1118</v>
      </c>
      <c r="B1121" s="5">
        <v>55930.486891271568</v>
      </c>
      <c r="C1121" s="19">
        <v>-30.532915593056892</v>
      </c>
      <c r="D1121" s="5">
        <v>112723.2816867263</v>
      </c>
      <c r="E1121" s="6">
        <v>101.54174932512117</v>
      </c>
    </row>
    <row r="1122" spans="1:5" x14ac:dyDescent="0.3">
      <c r="A1122" s="4">
        <v>1119</v>
      </c>
      <c r="B1122" s="5">
        <v>50719.77055660569</v>
      </c>
      <c r="C1122" s="19">
        <v>-37.004757544737828</v>
      </c>
      <c r="D1122" s="5">
        <v>97601.091479572424</v>
      </c>
      <c r="E1122" s="6">
        <v>92.432044562671948</v>
      </c>
    </row>
    <row r="1123" spans="1:5" x14ac:dyDescent="0.3">
      <c r="A1123" s="4">
        <v>1120</v>
      </c>
      <c r="B1123" s="5">
        <v>57953.544981120293</v>
      </c>
      <c r="C1123" s="19">
        <v>-28.020226094020863</v>
      </c>
      <c r="D1123" s="5">
        <v>86442.077300516539</v>
      </c>
      <c r="E1123" s="6">
        <v>49.15753182773728</v>
      </c>
    </row>
    <row r="1124" spans="1:5" x14ac:dyDescent="0.3">
      <c r="A1124" s="4">
        <v>1121</v>
      </c>
      <c r="B1124" s="5">
        <v>126768.61067455984</v>
      </c>
      <c r="C1124" s="19">
        <v>57.449832235500295</v>
      </c>
      <c r="D1124" s="5">
        <v>254988.8646747584</v>
      </c>
      <c r="E1124" s="6">
        <v>101.14511259365726</v>
      </c>
    </row>
    <row r="1125" spans="1:5" x14ac:dyDescent="0.3">
      <c r="A1125" s="4">
        <v>1122</v>
      </c>
      <c r="B1125" s="5">
        <v>101968.71827278179</v>
      </c>
      <c r="C1125" s="19">
        <v>26.647736374856596</v>
      </c>
      <c r="D1125" s="5">
        <v>193551.52844565629</v>
      </c>
      <c r="E1125" s="6">
        <v>89.814613465942173</v>
      </c>
    </row>
    <row r="1126" spans="1:5" x14ac:dyDescent="0.3">
      <c r="A1126" s="4">
        <v>1123</v>
      </c>
      <c r="B1126" s="5">
        <v>50728.108058036734</v>
      </c>
      <c r="C1126" s="19">
        <v>-36.994402156329009</v>
      </c>
      <c r="D1126" s="5">
        <v>100588.03813303389</v>
      </c>
      <c r="E1126" s="6">
        <v>98.288566208607037</v>
      </c>
    </row>
    <row r="1127" spans="1:5" x14ac:dyDescent="0.3">
      <c r="A1127" s="4">
        <v>1124</v>
      </c>
      <c r="B1127" s="5">
        <v>98153.612233871681</v>
      </c>
      <c r="C1127" s="19">
        <v>21.909277835391137</v>
      </c>
      <c r="D1127" s="5">
        <v>151088.83622534215</v>
      </c>
      <c r="E1127" s="6">
        <v>53.930999365913436</v>
      </c>
    </row>
    <row r="1128" spans="1:5" x14ac:dyDescent="0.3">
      <c r="A1128" s="4">
        <v>1125</v>
      </c>
      <c r="B1128" s="5">
        <v>76457.179332648389</v>
      </c>
      <c r="C1128" s="19">
        <v>-5.038242550204961</v>
      </c>
      <c r="D1128" s="5">
        <v>141084.00453601428</v>
      </c>
      <c r="E1128" s="6">
        <v>84.526823729906084</v>
      </c>
    </row>
    <row r="1129" spans="1:5" x14ac:dyDescent="0.3">
      <c r="A1129" s="4">
        <v>1126</v>
      </c>
      <c r="B1129" s="5">
        <v>44863.730059743408</v>
      </c>
      <c r="C1129" s="19">
        <v>-44.278108486181075</v>
      </c>
      <c r="D1129" s="5">
        <v>83377.927808895707</v>
      </c>
      <c r="E1129" s="6">
        <v>85.847070000341773</v>
      </c>
    </row>
    <row r="1130" spans="1:5" x14ac:dyDescent="0.3">
      <c r="A1130" s="4">
        <v>1127</v>
      </c>
      <c r="B1130" s="5">
        <v>84488.193009514609</v>
      </c>
      <c r="C1130" s="19">
        <v>4.9364802883198697</v>
      </c>
      <c r="D1130" s="5">
        <v>172129.37737869503</v>
      </c>
      <c r="E1130" s="6">
        <v>103.73187216740538</v>
      </c>
    </row>
    <row r="1131" spans="1:5" x14ac:dyDescent="0.3">
      <c r="A1131" s="4">
        <v>1128</v>
      </c>
      <c r="B1131" s="5">
        <v>57730.844009459703</v>
      </c>
      <c r="C1131" s="19">
        <v>-28.296826353659739</v>
      </c>
      <c r="D1131" s="5">
        <v>112911.54281435673</v>
      </c>
      <c r="E1131" s="6">
        <v>95.582698905034519</v>
      </c>
    </row>
    <row r="1132" spans="1:5" x14ac:dyDescent="0.3">
      <c r="A1132" s="4">
        <v>1129</v>
      </c>
      <c r="B1132" s="5">
        <v>69512.24111993394</v>
      </c>
      <c r="C1132" s="19">
        <v>-13.664032094313667</v>
      </c>
      <c r="D1132" s="5">
        <v>114444.6809539409</v>
      </c>
      <c r="E1132" s="6">
        <v>64.639607513850876</v>
      </c>
    </row>
    <row r="1133" spans="1:5" x14ac:dyDescent="0.3">
      <c r="A1133" s="4">
        <v>1130</v>
      </c>
      <c r="B1133" s="5">
        <v>96370.924672974274</v>
      </c>
      <c r="C1133" s="19">
        <v>19.695134634656839</v>
      </c>
      <c r="D1133" s="5">
        <v>175878.81580555733</v>
      </c>
      <c r="E1133" s="6">
        <v>82.501949008360825</v>
      </c>
    </row>
    <row r="1134" spans="1:5" x14ac:dyDescent="0.3">
      <c r="A1134" s="4">
        <v>1131</v>
      </c>
      <c r="B1134" s="5">
        <v>75415.635519961128</v>
      </c>
      <c r="C1134" s="19">
        <v>-6.3318664031517269</v>
      </c>
      <c r="D1134" s="5">
        <v>129362.65862272396</v>
      </c>
      <c r="E1134" s="6">
        <v>71.532942381005398</v>
      </c>
    </row>
    <row r="1135" spans="1:5" x14ac:dyDescent="0.3">
      <c r="A1135" s="4">
        <v>1132</v>
      </c>
      <c r="B1135" s="5">
        <v>106039.61948706764</v>
      </c>
      <c r="C1135" s="19">
        <v>31.703899015007952</v>
      </c>
      <c r="D1135" s="5">
        <v>180899.77710410304</v>
      </c>
      <c r="E1135" s="6">
        <v>70.59640347555677</v>
      </c>
    </row>
    <row r="1136" spans="1:5" x14ac:dyDescent="0.3">
      <c r="A1136" s="4">
        <v>1133</v>
      </c>
      <c r="B1136" s="5">
        <v>73607.851821046992</v>
      </c>
      <c r="C1136" s="19">
        <v>-8.5771796443200632</v>
      </c>
      <c r="D1136" s="5">
        <v>135578.48107134723</v>
      </c>
      <c r="E1136" s="6">
        <v>84.190242911804035</v>
      </c>
    </row>
    <row r="1137" spans="1:5" x14ac:dyDescent="0.3">
      <c r="A1137" s="4">
        <v>1134</v>
      </c>
      <c r="B1137" s="5">
        <v>103521.02257961029</v>
      </c>
      <c r="C1137" s="19">
        <v>28.575737726200906</v>
      </c>
      <c r="D1137" s="5">
        <v>201191.53656306435</v>
      </c>
      <c r="E1137" s="6">
        <v>94.348482607330268</v>
      </c>
    </row>
    <row r="1138" spans="1:5" x14ac:dyDescent="0.3">
      <c r="A1138" s="4">
        <v>1135</v>
      </c>
      <c r="B1138" s="5">
        <v>98908.537522828119</v>
      </c>
      <c r="C1138" s="19">
        <v>22.846914206603504</v>
      </c>
      <c r="D1138" s="5">
        <v>184012.54894959758</v>
      </c>
      <c r="E1138" s="6">
        <v>86.043140014204965</v>
      </c>
    </row>
    <row r="1139" spans="1:5" x14ac:dyDescent="0.3">
      <c r="A1139" s="4">
        <v>1136</v>
      </c>
      <c r="B1139" s="5">
        <v>95109.448548550499</v>
      </c>
      <c r="C1139" s="19">
        <v>18.128349267974013</v>
      </c>
      <c r="D1139" s="5">
        <v>207249.57798623567</v>
      </c>
      <c r="E1139" s="6">
        <v>117.90640272763333</v>
      </c>
    </row>
    <row r="1140" spans="1:5" x14ac:dyDescent="0.3">
      <c r="A1140" s="4">
        <v>1137</v>
      </c>
      <c r="B1140" s="5">
        <v>97184.762444330525</v>
      </c>
      <c r="C1140" s="19">
        <v>20.705941804389987</v>
      </c>
      <c r="D1140" s="5">
        <v>195415.1052652596</v>
      </c>
      <c r="E1140" s="6">
        <v>101.07586863444511</v>
      </c>
    </row>
    <row r="1141" spans="1:5" x14ac:dyDescent="0.3">
      <c r="A1141" s="4">
        <v>1138</v>
      </c>
      <c r="B1141" s="5">
        <v>57694.79172864111</v>
      </c>
      <c r="C1141" s="19">
        <v>-28.341604201554333</v>
      </c>
      <c r="D1141" s="5">
        <v>116304.66991398306</v>
      </c>
      <c r="E1141" s="6">
        <v>101.58608156695463</v>
      </c>
    </row>
    <row r="1142" spans="1:5" x14ac:dyDescent="0.3">
      <c r="A1142" s="4">
        <v>1139</v>
      </c>
      <c r="B1142" s="5">
        <v>176564.09118885011</v>
      </c>
      <c r="C1142" s="19">
        <v>119.29708299687928</v>
      </c>
      <c r="D1142" s="5">
        <v>317075.02650527027</v>
      </c>
      <c r="E1142" s="6">
        <v>79.580697507814264</v>
      </c>
    </row>
    <row r="1143" spans="1:5" x14ac:dyDescent="0.3">
      <c r="A1143" s="4">
        <v>1140</v>
      </c>
      <c r="B1143" s="5">
        <v>41489.58468283563</v>
      </c>
      <c r="C1143" s="19">
        <v>-48.468882690500195</v>
      </c>
      <c r="D1143" s="5">
        <v>79815.078184735903</v>
      </c>
      <c r="E1143" s="6">
        <v>92.37376993497756</v>
      </c>
    </row>
    <row r="1144" spans="1:5" x14ac:dyDescent="0.3">
      <c r="A1144" s="4">
        <v>1141</v>
      </c>
      <c r="B1144" s="5">
        <v>72408.044309903809</v>
      </c>
      <c r="C1144" s="19">
        <v>-10.067371027969092</v>
      </c>
      <c r="D1144" s="5">
        <v>127432.34708001409</v>
      </c>
      <c r="E1144" s="6">
        <v>75.991974779222403</v>
      </c>
    </row>
    <row r="1145" spans="1:5" x14ac:dyDescent="0.3">
      <c r="A1145" s="4">
        <v>1142</v>
      </c>
      <c r="B1145" s="5">
        <v>38210.204631571723</v>
      </c>
      <c r="C1145" s="19">
        <v>-52.541955954933847</v>
      </c>
      <c r="D1145" s="5">
        <v>76102.932596642204</v>
      </c>
      <c r="E1145" s="6">
        <v>99.16913120575407</v>
      </c>
    </row>
    <row r="1146" spans="1:5" x14ac:dyDescent="0.3">
      <c r="A1146" s="4">
        <v>1143</v>
      </c>
      <c r="B1146" s="5">
        <v>129915.53454743663</v>
      </c>
      <c r="C1146" s="19">
        <v>61.358391564231482</v>
      </c>
      <c r="D1146" s="5">
        <v>213587.5082992877</v>
      </c>
      <c r="E1146" s="6">
        <v>64.404902803443846</v>
      </c>
    </row>
    <row r="1147" spans="1:5" x14ac:dyDescent="0.3">
      <c r="A1147" s="4">
        <v>1144</v>
      </c>
      <c r="B1147" s="5">
        <v>78050.745367592011</v>
      </c>
      <c r="C1147" s="19">
        <v>-3.058993085191954</v>
      </c>
      <c r="D1147" s="5">
        <v>143889.76682427578</v>
      </c>
      <c r="E1147" s="6">
        <v>84.354122624460217</v>
      </c>
    </row>
    <row r="1148" spans="1:5" x14ac:dyDescent="0.3">
      <c r="A1148" s="4">
        <v>1145</v>
      </c>
      <c r="B1148" s="5">
        <v>53702.480622083036</v>
      </c>
      <c r="C1148" s="19">
        <v>-33.300155933048856</v>
      </c>
      <c r="D1148" s="5">
        <v>108723.67002539095</v>
      </c>
      <c r="E1148" s="6">
        <v>102.45558262104304</v>
      </c>
    </row>
    <row r="1149" spans="1:5" x14ac:dyDescent="0.3">
      <c r="A1149" s="4">
        <v>1146</v>
      </c>
      <c r="B1149" s="5">
        <v>48332.153714768414</v>
      </c>
      <c r="C1149" s="19">
        <v>-39.97023826736735</v>
      </c>
      <c r="D1149" s="5">
        <v>89440.2228430307</v>
      </c>
      <c r="E1149" s="6">
        <v>85.053253308058714</v>
      </c>
    </row>
    <row r="1150" spans="1:5" x14ac:dyDescent="0.3">
      <c r="A1150" s="4">
        <v>1147</v>
      </c>
      <c r="B1150" s="5">
        <v>74320.260106963426</v>
      </c>
      <c r="C1150" s="19">
        <v>-7.6923504700958407</v>
      </c>
      <c r="D1150" s="5">
        <v>147797.47624371981</v>
      </c>
      <c r="E1150" s="6">
        <v>98.86566063009775</v>
      </c>
    </row>
    <row r="1151" spans="1:5" x14ac:dyDescent="0.3">
      <c r="A1151" s="4">
        <v>1148</v>
      </c>
      <c r="B1151" s="5">
        <v>27839.373500444293</v>
      </c>
      <c r="C1151" s="19">
        <v>-65.422791463423081</v>
      </c>
      <c r="D1151" s="5">
        <v>63811.652478414071</v>
      </c>
      <c r="E1151" s="6">
        <v>129.21367996085002</v>
      </c>
    </row>
    <row r="1152" spans="1:5" x14ac:dyDescent="0.3">
      <c r="A1152" s="4">
        <v>1149</v>
      </c>
      <c r="B1152" s="5">
        <v>74938.788130780449</v>
      </c>
      <c r="C1152" s="19">
        <v>-6.9241229643692215</v>
      </c>
      <c r="D1152" s="5">
        <v>134738.87562583873</v>
      </c>
      <c r="E1152" s="6">
        <v>79.798578261897362</v>
      </c>
    </row>
    <row r="1153" spans="1:5" x14ac:dyDescent="0.3">
      <c r="A1153" s="4">
        <v>1150</v>
      </c>
      <c r="B1153" s="5">
        <v>46953.124005150843</v>
      </c>
      <c r="C1153" s="19">
        <v>-41.68302817073284</v>
      </c>
      <c r="D1153" s="5">
        <v>80838.125834031016</v>
      </c>
      <c r="E1153" s="6">
        <v>72.167725890108883</v>
      </c>
    </row>
    <row r="1154" spans="1:5" x14ac:dyDescent="0.3">
      <c r="A1154" s="4">
        <v>1151</v>
      </c>
      <c r="B1154" s="5">
        <v>29309.504830691025</v>
      </c>
      <c r="C1154" s="19">
        <v>-63.596851034796508</v>
      </c>
      <c r="D1154" s="5">
        <v>57695.760503344842</v>
      </c>
      <c r="E1154" s="6">
        <v>96.850000832936487</v>
      </c>
    </row>
    <row r="1155" spans="1:5" x14ac:dyDescent="0.3">
      <c r="A1155" s="4">
        <v>1152</v>
      </c>
      <c r="B1155" s="5">
        <v>39070.7783509039</v>
      </c>
      <c r="C1155" s="19">
        <v>-51.473101551512322</v>
      </c>
      <c r="D1155" s="5">
        <v>78530.295019159807</v>
      </c>
      <c r="E1155" s="6">
        <v>100.99495923490609</v>
      </c>
    </row>
    <row r="1156" spans="1:5" x14ac:dyDescent="0.3">
      <c r="A1156" s="4">
        <v>1153</v>
      </c>
      <c r="B1156" s="5">
        <v>96681.748995846341</v>
      </c>
      <c r="C1156" s="19">
        <v>20.081186333342384</v>
      </c>
      <c r="D1156" s="5">
        <v>170376.12515567947</v>
      </c>
      <c r="E1156" s="6">
        <v>76.223668815713296</v>
      </c>
    </row>
    <row r="1157" spans="1:5" x14ac:dyDescent="0.3">
      <c r="A1157" s="4">
        <v>1154</v>
      </c>
      <c r="B1157" s="5">
        <v>32855.761359559321</v>
      </c>
      <c r="C1157" s="19">
        <v>-59.192310411031414</v>
      </c>
      <c r="D1157" s="5">
        <v>62444.613895870621</v>
      </c>
      <c r="E1157" s="6">
        <v>90.056815949274849</v>
      </c>
    </row>
    <row r="1158" spans="1:5" x14ac:dyDescent="0.3">
      <c r="A1158" s="4">
        <v>1155</v>
      </c>
      <c r="B1158" s="5">
        <v>105671.63452296067</v>
      </c>
      <c r="C1158" s="19">
        <v>31.246852348995567</v>
      </c>
      <c r="D1158" s="5">
        <v>187780.69759474805</v>
      </c>
      <c r="E1158" s="6">
        <v>77.702084804930763</v>
      </c>
    </row>
    <row r="1159" spans="1:5" x14ac:dyDescent="0.3">
      <c r="A1159" s="4">
        <v>1156</v>
      </c>
      <c r="B1159" s="5">
        <v>64384.178412609523</v>
      </c>
      <c r="C1159" s="19">
        <v>-20.033216142832927</v>
      </c>
      <c r="D1159" s="5">
        <v>132559.37104744147</v>
      </c>
      <c r="E1159" s="6">
        <v>105.88811462022159</v>
      </c>
    </row>
    <row r="1160" spans="1:5" x14ac:dyDescent="0.3">
      <c r="A1160" s="4">
        <v>1157</v>
      </c>
      <c r="B1160" s="5">
        <v>36996.010432410163</v>
      </c>
      <c r="C1160" s="19">
        <v>-54.050015970280143</v>
      </c>
      <c r="D1160" s="5">
        <v>80598.696680759153</v>
      </c>
      <c r="E1160" s="6">
        <v>117.85780612211927</v>
      </c>
    </row>
    <row r="1161" spans="1:5" x14ac:dyDescent="0.3">
      <c r="A1161" s="4">
        <v>1158</v>
      </c>
      <c r="B1161" s="5">
        <v>83065.501798598722</v>
      </c>
      <c r="C1161" s="19">
        <v>3.1694616920785172</v>
      </c>
      <c r="D1161" s="5">
        <v>148838.76396665518</v>
      </c>
      <c r="E1161" s="6">
        <v>79.182405142788198</v>
      </c>
    </row>
    <row r="1162" spans="1:5" x14ac:dyDescent="0.3">
      <c r="A1162" s="4">
        <v>1159</v>
      </c>
      <c r="B1162" s="5">
        <v>55912.313939240201</v>
      </c>
      <c r="C1162" s="19">
        <v>-30.555486860765335</v>
      </c>
      <c r="D1162" s="5">
        <v>100772.83780044821</v>
      </c>
      <c r="E1162" s="6">
        <v>80.233710073165369</v>
      </c>
    </row>
    <row r="1163" spans="1:5" x14ac:dyDescent="0.3">
      <c r="A1163" s="4">
        <v>1160</v>
      </c>
      <c r="B1163" s="5">
        <v>83772.425625641408</v>
      </c>
      <c r="C1163" s="19">
        <v>4.0474790291690921</v>
      </c>
      <c r="D1163" s="5">
        <v>149363.69225113455</v>
      </c>
      <c r="E1163" s="6">
        <v>78.296964825400366</v>
      </c>
    </row>
    <row r="1164" spans="1:5" x14ac:dyDescent="0.3">
      <c r="A1164" s="4">
        <v>1161</v>
      </c>
      <c r="B1164" s="5">
        <v>46554.051539671731</v>
      </c>
      <c r="C1164" s="19">
        <v>-42.178686302545934</v>
      </c>
      <c r="D1164" s="5">
        <v>96365.523159098491</v>
      </c>
      <c r="E1164" s="6">
        <v>106.99707108623868</v>
      </c>
    </row>
    <row r="1165" spans="1:5" x14ac:dyDescent="0.3">
      <c r="A1165" s="4">
        <v>1162</v>
      </c>
      <c r="B1165" s="5">
        <v>48822.106014774072</v>
      </c>
      <c r="C1165" s="19">
        <v>-39.36170507426224</v>
      </c>
      <c r="D1165" s="5">
        <v>96304.042385905574</v>
      </c>
      <c r="E1165" s="6">
        <v>97.254994196200755</v>
      </c>
    </row>
    <row r="1166" spans="1:5" x14ac:dyDescent="0.3">
      <c r="A1166" s="4">
        <v>1163</v>
      </c>
      <c r="B1166" s="5">
        <v>117804.5728013203</v>
      </c>
      <c r="C1166" s="19">
        <v>46.316269662052648</v>
      </c>
      <c r="D1166" s="5">
        <v>204888.44810513896</v>
      </c>
      <c r="E1166" s="6">
        <v>73.922321717245481</v>
      </c>
    </row>
    <row r="1167" spans="1:5" x14ac:dyDescent="0.3">
      <c r="A1167" s="4">
        <v>1164</v>
      </c>
      <c r="B1167" s="5">
        <v>75973.630642858217</v>
      </c>
      <c r="C1167" s="19">
        <v>-5.6388222968790913</v>
      </c>
      <c r="D1167" s="5">
        <v>140056.28826138424</v>
      </c>
      <c r="E1167" s="6">
        <v>84.348552354658352</v>
      </c>
    </row>
    <row r="1168" spans="1:5" x14ac:dyDescent="0.3">
      <c r="A1168" s="4">
        <v>1165</v>
      </c>
      <c r="B1168" s="5">
        <v>32891.467828842644</v>
      </c>
      <c r="C1168" s="19">
        <v>-59.147962069841377</v>
      </c>
      <c r="D1168" s="5">
        <v>57322.830951457014</v>
      </c>
      <c r="E1168" s="6">
        <v>74.278725564173271</v>
      </c>
    </row>
    <row r="1169" spans="1:5" x14ac:dyDescent="0.3">
      <c r="A1169" s="4">
        <v>1166</v>
      </c>
      <c r="B1169" s="5">
        <v>73735.600241377833</v>
      </c>
      <c r="C1169" s="19">
        <v>-8.4185128636208759</v>
      </c>
      <c r="D1169" s="5">
        <v>164720.36351389118</v>
      </c>
      <c r="E1169" s="6">
        <v>123.39326319263606</v>
      </c>
    </row>
    <row r="1170" spans="1:5" x14ac:dyDescent="0.3">
      <c r="A1170" s="4">
        <v>1167</v>
      </c>
      <c r="B1170" s="5">
        <v>31396.64612420823</v>
      </c>
      <c r="C1170" s="19">
        <v>-61.004568570175188</v>
      </c>
      <c r="D1170" s="5">
        <v>56615.074880716689</v>
      </c>
      <c r="E1170" s="6">
        <v>80.322046682126071</v>
      </c>
    </row>
    <row r="1171" spans="1:5" x14ac:dyDescent="0.3">
      <c r="A1171" s="4">
        <v>1168</v>
      </c>
      <c r="B1171" s="5">
        <v>30223.976127226382</v>
      </c>
      <c r="C1171" s="19">
        <v>-62.461054472402154</v>
      </c>
      <c r="D1171" s="5">
        <v>58479.680023306311</v>
      </c>
      <c r="E1171" s="6">
        <v>93.487712460924712</v>
      </c>
    </row>
    <row r="1172" spans="1:5" x14ac:dyDescent="0.3">
      <c r="A1172" s="4">
        <v>1169</v>
      </c>
      <c r="B1172" s="5">
        <v>65676.840133301797</v>
      </c>
      <c r="C1172" s="19">
        <v>-18.427697473998162</v>
      </c>
      <c r="D1172" s="5">
        <v>126364.68511038739</v>
      </c>
      <c r="E1172" s="6">
        <v>92.403722307452327</v>
      </c>
    </row>
    <row r="1173" spans="1:5" x14ac:dyDescent="0.3">
      <c r="A1173" s="4">
        <v>1170</v>
      </c>
      <c r="B1173" s="5">
        <v>60174.563885887605</v>
      </c>
      <c r="C1173" s="19">
        <v>-25.261664238000886</v>
      </c>
      <c r="D1173" s="5">
        <v>88232.168875252799</v>
      </c>
      <c r="E1173" s="6">
        <v>46.627018423552521</v>
      </c>
    </row>
    <row r="1174" spans="1:5" x14ac:dyDescent="0.3">
      <c r="A1174" s="4">
        <v>1171</v>
      </c>
      <c r="B1174" s="5">
        <v>69521.904320912829</v>
      </c>
      <c r="C1174" s="19">
        <v>-13.652030153416089</v>
      </c>
      <c r="D1174" s="5">
        <v>130775.07201054045</v>
      </c>
      <c r="E1174" s="6">
        <v>88.106285764099965</v>
      </c>
    </row>
    <row r="1175" spans="1:5" x14ac:dyDescent="0.3">
      <c r="A1175" s="4">
        <v>1172</v>
      </c>
      <c r="B1175" s="5">
        <v>73070.757390491068</v>
      </c>
      <c r="C1175" s="19">
        <v>-9.2442645601810405</v>
      </c>
      <c r="D1175" s="5">
        <v>143656.06211830437</v>
      </c>
      <c r="E1175" s="6">
        <v>96.598567263514894</v>
      </c>
    </row>
    <row r="1176" spans="1:5" x14ac:dyDescent="0.3">
      <c r="A1176" s="4">
        <v>1173</v>
      </c>
      <c r="B1176" s="5">
        <v>154704.15150649977</v>
      </c>
      <c r="C1176" s="19">
        <v>92.146483038817792</v>
      </c>
      <c r="D1176" s="5">
        <v>321009.50398311974</v>
      </c>
      <c r="E1176" s="6">
        <v>107.4989590499986</v>
      </c>
    </row>
    <row r="1177" spans="1:5" x14ac:dyDescent="0.3">
      <c r="A1177" s="4">
        <v>1174</v>
      </c>
      <c r="B1177" s="5">
        <v>45100.290129847723</v>
      </c>
      <c r="C1177" s="19">
        <v>-43.984294874488498</v>
      </c>
      <c r="D1177" s="5">
        <v>90771.423044624971</v>
      </c>
      <c r="E1177" s="6">
        <v>101.26571865344107</v>
      </c>
    </row>
    <row r="1178" spans="1:5" x14ac:dyDescent="0.3">
      <c r="A1178" s="4">
        <v>1175</v>
      </c>
      <c r="B1178" s="5">
        <v>53499.639114181038</v>
      </c>
      <c r="C1178" s="19">
        <v>-33.552090234605217</v>
      </c>
      <c r="D1178" s="5">
        <v>113299.47902396496</v>
      </c>
      <c r="E1178" s="6">
        <v>111.7761556898669</v>
      </c>
    </row>
    <row r="1179" spans="1:5" x14ac:dyDescent="0.3">
      <c r="A1179" s="4">
        <v>1176</v>
      </c>
      <c r="B1179" s="5">
        <v>60351.62315817042</v>
      </c>
      <c r="C1179" s="19">
        <v>-25.04175212751608</v>
      </c>
      <c r="D1179" s="5">
        <v>112290.91591954231</v>
      </c>
      <c r="E1179" s="6">
        <v>86.061136458995705</v>
      </c>
    </row>
    <row r="1180" spans="1:5" x14ac:dyDescent="0.3">
      <c r="A1180" s="4">
        <v>1177</v>
      </c>
      <c r="B1180" s="5">
        <v>37981.652846038021</v>
      </c>
      <c r="C1180" s="19">
        <v>-52.825823073914805</v>
      </c>
      <c r="D1180" s="5">
        <v>73725.270405296469</v>
      </c>
      <c r="E1180" s="6">
        <v>94.107588482650698</v>
      </c>
    </row>
    <row r="1181" spans="1:5" x14ac:dyDescent="0.3">
      <c r="A1181" s="4">
        <v>1178</v>
      </c>
      <c r="B1181" s="5">
        <v>89305.59480350402</v>
      </c>
      <c r="C1181" s="19">
        <v>10.919815596946455</v>
      </c>
      <c r="D1181" s="5">
        <v>145777.47302705198</v>
      </c>
      <c r="E1181" s="6">
        <v>63.234423719814039</v>
      </c>
    </row>
    <row r="1182" spans="1:5" x14ac:dyDescent="0.3">
      <c r="A1182" s="4">
        <v>1179</v>
      </c>
      <c r="B1182" s="5">
        <v>74481.033058588</v>
      </c>
      <c r="C1182" s="19">
        <v>-7.4926663832655391</v>
      </c>
      <c r="D1182" s="5">
        <v>155531.30464226048</v>
      </c>
      <c r="E1182" s="6">
        <v>108.82001531841941</v>
      </c>
    </row>
    <row r="1183" spans="1:5" x14ac:dyDescent="0.3">
      <c r="A1183" s="4">
        <v>1180</v>
      </c>
      <c r="B1183" s="5">
        <v>42911.768287857856</v>
      </c>
      <c r="C1183" s="19">
        <v>-46.702494553663364</v>
      </c>
      <c r="D1183" s="5">
        <v>77246.010793916517</v>
      </c>
      <c r="E1183" s="6">
        <v>80.011250703396769</v>
      </c>
    </row>
    <row r="1184" spans="1:5" x14ac:dyDescent="0.3">
      <c r="A1184" s="4">
        <v>1181</v>
      </c>
      <c r="B1184" s="5">
        <v>33239.373314161916</v>
      </c>
      <c r="C1184" s="19">
        <v>-58.715854626162326</v>
      </c>
      <c r="D1184" s="5">
        <v>74451.085413340988</v>
      </c>
      <c r="E1184" s="6">
        <v>123.98462422761887</v>
      </c>
    </row>
    <row r="1185" spans="1:5" x14ac:dyDescent="0.3">
      <c r="A1185" s="4">
        <v>1182</v>
      </c>
      <c r="B1185" s="5">
        <v>64352.111482134715</v>
      </c>
      <c r="C1185" s="19">
        <v>-20.073044084440074</v>
      </c>
      <c r="D1185" s="5">
        <v>117468.17155954536</v>
      </c>
      <c r="E1185" s="6">
        <v>82.539731570667414</v>
      </c>
    </row>
    <row r="1186" spans="1:5" x14ac:dyDescent="0.3">
      <c r="A1186" s="4">
        <v>1183</v>
      </c>
      <c r="B1186" s="5">
        <v>68713.317666647708</v>
      </c>
      <c r="C1186" s="19">
        <v>-14.656315302432532</v>
      </c>
      <c r="D1186" s="5">
        <v>121283.74073140201</v>
      </c>
      <c r="E1186" s="6">
        <v>76.506891021900259</v>
      </c>
    </row>
    <row r="1187" spans="1:5" x14ac:dyDescent="0.3">
      <c r="A1187" s="4">
        <v>1184</v>
      </c>
      <c r="B1187" s="5">
        <v>75847.220510489045</v>
      </c>
      <c r="C1187" s="19">
        <v>-5.7958268899600158</v>
      </c>
      <c r="D1187" s="5">
        <v>129034.39014383005</v>
      </c>
      <c r="E1187" s="6">
        <v>70.124085332811447</v>
      </c>
    </row>
    <row r="1188" spans="1:5" x14ac:dyDescent="0.3">
      <c r="A1188" s="4">
        <v>1185</v>
      </c>
      <c r="B1188" s="5">
        <v>145448.32936958314</v>
      </c>
      <c r="C1188" s="19">
        <v>80.650517003500099</v>
      </c>
      <c r="D1188" s="5">
        <v>226695.37245069718</v>
      </c>
      <c r="E1188" s="6">
        <v>55.859729316426801</v>
      </c>
    </row>
    <row r="1189" spans="1:5" x14ac:dyDescent="0.3">
      <c r="A1189" s="4">
        <v>1186</v>
      </c>
      <c r="B1189" s="5">
        <v>89128.748230642348</v>
      </c>
      <c r="C1189" s="19">
        <v>10.700167664541677</v>
      </c>
      <c r="D1189" s="5">
        <v>140876.28836782358</v>
      </c>
      <c r="E1189" s="6">
        <v>58.059314378871186</v>
      </c>
    </row>
    <row r="1190" spans="1:5" x14ac:dyDescent="0.3">
      <c r="A1190" s="4">
        <v>1187</v>
      </c>
      <c r="B1190" s="5">
        <v>60199.951160838602</v>
      </c>
      <c r="C1190" s="19">
        <v>-25.230132598104532</v>
      </c>
      <c r="D1190" s="5">
        <v>117894.20323794613</v>
      </c>
      <c r="E1190" s="6">
        <v>95.837705786444076</v>
      </c>
    </row>
    <row r="1191" spans="1:5" x14ac:dyDescent="0.3">
      <c r="A1191" s="4">
        <v>1188</v>
      </c>
      <c r="B1191" s="5">
        <v>50950.120697628663</v>
      </c>
      <c r="C1191" s="19">
        <v>-36.718656822591399</v>
      </c>
      <c r="D1191" s="5">
        <v>109974.49803517161</v>
      </c>
      <c r="E1191" s="6">
        <v>115.84737490188139</v>
      </c>
    </row>
    <row r="1192" spans="1:5" x14ac:dyDescent="0.3">
      <c r="A1192" s="4">
        <v>1189</v>
      </c>
      <c r="B1192" s="5">
        <v>175443.82196214542</v>
      </c>
      <c r="C1192" s="19">
        <v>117.90568018142945</v>
      </c>
      <c r="D1192" s="5">
        <v>329638.40947440447</v>
      </c>
      <c r="E1192" s="6">
        <v>87.888297112866582</v>
      </c>
    </row>
    <row r="1193" spans="1:5" x14ac:dyDescent="0.3">
      <c r="A1193" s="4">
        <v>1190</v>
      </c>
      <c r="B1193" s="5">
        <v>53112.025094577461</v>
      </c>
      <c r="C1193" s="19">
        <v>-34.033516685790254</v>
      </c>
      <c r="D1193" s="5">
        <v>104948.53230974849</v>
      </c>
      <c r="E1193" s="6">
        <v>97.598438626403166</v>
      </c>
    </row>
    <row r="1194" spans="1:5" x14ac:dyDescent="0.3">
      <c r="A1194" s="4">
        <v>1191</v>
      </c>
      <c r="B1194" s="5">
        <v>31430.325157142899</v>
      </c>
      <c r="C1194" s="19">
        <v>-60.962738356392762</v>
      </c>
      <c r="D1194" s="5">
        <v>60058.112268960336</v>
      </c>
      <c r="E1194" s="6">
        <v>91.083331046326919</v>
      </c>
    </row>
    <row r="1195" spans="1:5" x14ac:dyDescent="0.3">
      <c r="A1195" s="4">
        <v>1192</v>
      </c>
      <c r="B1195" s="5">
        <v>71286.488856176424</v>
      </c>
      <c r="C1195" s="19">
        <v>-11.46037137002952</v>
      </c>
      <c r="D1195" s="5">
        <v>116476.59935534171</v>
      </c>
      <c r="E1195" s="6">
        <v>63.392251777666154</v>
      </c>
    </row>
    <row r="1196" spans="1:5" x14ac:dyDescent="0.3">
      <c r="A1196" s="4">
        <v>1193</v>
      </c>
      <c r="B1196" s="5">
        <v>74225.855148077622</v>
      </c>
      <c r="C1196" s="19">
        <v>-7.8096038253205657</v>
      </c>
      <c r="D1196" s="5">
        <v>157145.7185244062</v>
      </c>
      <c r="E1196" s="6">
        <v>111.71291083262935</v>
      </c>
    </row>
    <row r="1197" spans="1:5" x14ac:dyDescent="0.3">
      <c r="A1197" s="4">
        <v>1194</v>
      </c>
      <c r="B1197" s="5">
        <v>113689.151970001</v>
      </c>
      <c r="C1197" s="19">
        <v>41.204812527500771</v>
      </c>
      <c r="D1197" s="5">
        <v>212536.34072745833</v>
      </c>
      <c r="E1197" s="6">
        <v>86.945136844313879</v>
      </c>
    </row>
    <row r="1198" spans="1:5" x14ac:dyDescent="0.3">
      <c r="A1198" s="4">
        <v>1195</v>
      </c>
      <c r="B1198" s="5">
        <v>40190.15260118193</v>
      </c>
      <c r="C1198" s="19">
        <v>-50.082810319501661</v>
      </c>
      <c r="D1198" s="5">
        <v>74379.731981695455</v>
      </c>
      <c r="E1198" s="6">
        <v>85.069543576473166</v>
      </c>
    </row>
    <row r="1199" spans="1:5" x14ac:dyDescent="0.3">
      <c r="A1199" s="4">
        <v>1196</v>
      </c>
      <c r="B1199" s="5">
        <v>88801.38887299897</v>
      </c>
      <c r="C1199" s="19">
        <v>10.293579032960068</v>
      </c>
      <c r="D1199" s="5">
        <v>189291.84308292944</v>
      </c>
      <c r="E1199" s="6">
        <v>113.16315598807675</v>
      </c>
    </row>
    <row r="1200" spans="1:5" x14ac:dyDescent="0.3">
      <c r="A1200" s="4">
        <v>1197</v>
      </c>
      <c r="B1200" s="5">
        <v>195131.90362659821</v>
      </c>
      <c r="C1200" s="19">
        <v>142.3587773528179</v>
      </c>
      <c r="D1200" s="5">
        <v>280645.61841301306</v>
      </c>
      <c r="E1200" s="6">
        <v>43.823543560592086</v>
      </c>
    </row>
    <row r="1201" spans="1:5" x14ac:dyDescent="0.3">
      <c r="A1201" s="4">
        <v>1198</v>
      </c>
      <c r="B1201" s="5">
        <v>103746.07491171846</v>
      </c>
      <c r="C1201" s="19">
        <v>28.855258435200447</v>
      </c>
      <c r="D1201" s="5">
        <v>152782.08826722344</v>
      </c>
      <c r="E1201" s="6">
        <v>47.26541548413433</v>
      </c>
    </row>
    <row r="1202" spans="1:5" x14ac:dyDescent="0.3">
      <c r="A1202" s="4">
        <v>1199</v>
      </c>
      <c r="B1202" s="5">
        <v>33371.630276415155</v>
      </c>
      <c r="C1202" s="19">
        <v>-58.551588121954836</v>
      </c>
      <c r="D1202" s="5">
        <v>67508.464204655029</v>
      </c>
      <c r="E1202" s="6">
        <v>102.29297653571787</v>
      </c>
    </row>
    <row r="1203" spans="1:5" x14ac:dyDescent="0.3">
      <c r="A1203" s="4">
        <v>1200</v>
      </c>
      <c r="B1203" s="5">
        <v>111642.52094907324</v>
      </c>
      <c r="C1203" s="19">
        <v>38.662844849711</v>
      </c>
      <c r="D1203" s="5">
        <v>199259.01870571487</v>
      </c>
      <c r="E1203" s="6">
        <v>78.479504951888984</v>
      </c>
    </row>
    <row r="1204" spans="1:5" x14ac:dyDescent="0.3">
      <c r="A1204" s="4">
        <v>1201</v>
      </c>
      <c r="B1204" s="5">
        <v>60610.292672386342</v>
      </c>
      <c r="C1204" s="19">
        <v>-24.720478025031113</v>
      </c>
      <c r="D1204" s="5">
        <v>115030.67403346111</v>
      </c>
      <c r="E1204" s="6">
        <v>89.787359475774892</v>
      </c>
    </row>
    <row r="1205" spans="1:5" x14ac:dyDescent="0.3">
      <c r="A1205" s="4">
        <v>1202</v>
      </c>
      <c r="B1205" s="5">
        <v>95465.742857215737</v>
      </c>
      <c r="C1205" s="19">
        <v>18.570875843182929</v>
      </c>
      <c r="D1205" s="5">
        <v>179706.17626799265</v>
      </c>
      <c r="E1205" s="6">
        <v>88.241531348865038</v>
      </c>
    </row>
    <row r="1206" spans="1:5" x14ac:dyDescent="0.3">
      <c r="A1206" s="4">
        <v>1203</v>
      </c>
      <c r="B1206" s="5">
        <v>76993.717155135528</v>
      </c>
      <c r="C1206" s="19">
        <v>-4.3718489556938422</v>
      </c>
      <c r="D1206" s="5">
        <v>146479.62929617253</v>
      </c>
      <c r="E1206" s="6">
        <v>90.248808225519269</v>
      </c>
    </row>
    <row r="1207" spans="1:5" x14ac:dyDescent="0.3">
      <c r="A1207" s="4">
        <v>1204</v>
      </c>
      <c r="B1207" s="5">
        <v>78106.973359135358</v>
      </c>
      <c r="C1207" s="19">
        <v>-2.9891564924555496</v>
      </c>
      <c r="D1207" s="5">
        <v>133422.1347147635</v>
      </c>
      <c r="E1207" s="6">
        <v>70.819747554791789</v>
      </c>
    </row>
    <row r="1208" spans="1:5" x14ac:dyDescent="0.3">
      <c r="A1208" s="4">
        <v>1205</v>
      </c>
      <c r="B1208" s="5">
        <v>101744.67563771929</v>
      </c>
      <c r="C1208" s="19">
        <v>26.36946973521701</v>
      </c>
      <c r="D1208" s="5">
        <v>197117.15648236824</v>
      </c>
      <c r="E1208" s="6">
        <v>93.737072969046835</v>
      </c>
    </row>
    <row r="1209" spans="1:5" x14ac:dyDescent="0.3">
      <c r="A1209" s="4">
        <v>1206</v>
      </c>
      <c r="B1209" s="5">
        <v>82171.45624981627</v>
      </c>
      <c r="C1209" s="19">
        <v>2.0590344268616545</v>
      </c>
      <c r="D1209" s="5">
        <v>145373.58059209425</v>
      </c>
      <c r="E1209" s="6">
        <v>76.914937651989462</v>
      </c>
    </row>
    <row r="1210" spans="1:5" x14ac:dyDescent="0.3">
      <c r="A1210" s="4">
        <v>1207</v>
      </c>
      <c r="B1210" s="5">
        <v>52793.705858159847</v>
      </c>
      <c r="C1210" s="19">
        <v>-34.428877257343352</v>
      </c>
      <c r="D1210" s="5">
        <v>100087.14404298679</v>
      </c>
      <c r="E1210" s="6">
        <v>89.581584425782893</v>
      </c>
    </row>
    <row r="1211" spans="1:5" x14ac:dyDescent="0.3">
      <c r="A1211" s="4">
        <v>1208</v>
      </c>
      <c r="B1211" s="5">
        <v>97581.87730399557</v>
      </c>
      <c r="C1211" s="19">
        <v>21.199168540091947</v>
      </c>
      <c r="D1211" s="5">
        <v>162492.48578801009</v>
      </c>
      <c r="E1211" s="6">
        <v>66.519122481933138</v>
      </c>
    </row>
    <row r="1212" spans="1:5" x14ac:dyDescent="0.3">
      <c r="A1212" s="4">
        <v>1209</v>
      </c>
      <c r="B1212" s="5">
        <v>39716.364088851755</v>
      </c>
      <c r="C1212" s="19">
        <v>-50.671267678027107</v>
      </c>
      <c r="D1212" s="5">
        <v>82772.508935435166</v>
      </c>
      <c r="E1212" s="6">
        <v>108.40907981974392</v>
      </c>
    </row>
    <row r="1213" spans="1:5" x14ac:dyDescent="0.3">
      <c r="A1213" s="4">
        <v>1210</v>
      </c>
      <c r="B1213" s="5">
        <v>105475.69522361057</v>
      </c>
      <c r="C1213" s="19">
        <v>31.003490765659979</v>
      </c>
      <c r="D1213" s="5">
        <v>196843.08072050184</v>
      </c>
      <c r="E1213" s="6">
        <v>86.624113074761524</v>
      </c>
    </row>
    <row r="1214" spans="1:5" x14ac:dyDescent="0.3">
      <c r="A1214" s="4">
        <v>1211</v>
      </c>
      <c r="B1214" s="5">
        <v>87493.091562612855</v>
      </c>
      <c r="C1214" s="19">
        <v>8.6686405648461413</v>
      </c>
      <c r="D1214" s="5">
        <v>157832.63426661093</v>
      </c>
      <c r="E1214" s="6">
        <v>80.394396229170667</v>
      </c>
    </row>
    <row r="1215" spans="1:5" x14ac:dyDescent="0.3">
      <c r="A1215" s="4">
        <v>1212</v>
      </c>
      <c r="B1215" s="5">
        <v>30597.264971655677</v>
      </c>
      <c r="C1215" s="19">
        <v>-61.997420252400637</v>
      </c>
      <c r="D1215" s="5">
        <v>69400.21527970882</v>
      </c>
      <c r="E1215" s="6">
        <v>126.81836217713887</v>
      </c>
    </row>
    <row r="1216" spans="1:5" x14ac:dyDescent="0.3">
      <c r="A1216" s="4">
        <v>1213</v>
      </c>
      <c r="B1216" s="5">
        <v>66952.158276190879</v>
      </c>
      <c r="C1216" s="19">
        <v>-16.843719969028374</v>
      </c>
      <c r="D1216" s="5">
        <v>128970.51854385657</v>
      </c>
      <c r="E1216" s="6">
        <v>92.630860400090015</v>
      </c>
    </row>
    <row r="1217" spans="1:5" x14ac:dyDescent="0.3">
      <c r="A1217" s="4">
        <v>1214</v>
      </c>
      <c r="B1217" s="5">
        <v>78123.495410466043</v>
      </c>
      <c r="C1217" s="19">
        <v>-2.9686356853223002</v>
      </c>
      <c r="D1217" s="5">
        <v>147683.356881621</v>
      </c>
      <c r="E1217" s="6">
        <v>89.038337449806633</v>
      </c>
    </row>
    <row r="1218" spans="1:5" x14ac:dyDescent="0.3">
      <c r="A1218" s="4">
        <v>1215</v>
      </c>
      <c r="B1218" s="5">
        <v>109244.91932684764</v>
      </c>
      <c r="C1218" s="19">
        <v>35.684962776394713</v>
      </c>
      <c r="D1218" s="5">
        <v>186111.69476876655</v>
      </c>
      <c r="E1218" s="6">
        <v>70.361876703796895</v>
      </c>
    </row>
    <row r="1219" spans="1:5" x14ac:dyDescent="0.3">
      <c r="A1219" s="4">
        <v>1216</v>
      </c>
      <c r="B1219" s="5">
        <v>166425.03828196807</v>
      </c>
      <c r="C1219" s="19">
        <v>106.70412192614786</v>
      </c>
      <c r="D1219" s="5">
        <v>220131.62275313304</v>
      </c>
      <c r="E1219" s="6">
        <v>32.270735837339451</v>
      </c>
    </row>
    <row r="1220" spans="1:5" x14ac:dyDescent="0.3">
      <c r="A1220" s="4">
        <v>1217</v>
      </c>
      <c r="B1220" s="5">
        <v>65268.042838279885</v>
      </c>
      <c r="C1220" s="19">
        <v>-18.935434090949531</v>
      </c>
      <c r="D1220" s="5">
        <v>140408.26991619941</v>
      </c>
      <c r="E1220" s="6">
        <v>115.12560176517133</v>
      </c>
    </row>
    <row r="1221" spans="1:5" x14ac:dyDescent="0.3">
      <c r="A1221" s="4">
        <v>1218</v>
      </c>
      <c r="B1221" s="5">
        <v>34180.531522517675</v>
      </c>
      <c r="C1221" s="19">
        <v>-57.546912241891036</v>
      </c>
      <c r="D1221" s="5">
        <v>64749.712951876958</v>
      </c>
      <c r="E1221" s="6">
        <v>89.434482343320838</v>
      </c>
    </row>
    <row r="1222" spans="1:5" x14ac:dyDescent="0.3">
      <c r="A1222" s="4">
        <v>1219</v>
      </c>
      <c r="B1222" s="5">
        <v>74422.912135399209</v>
      </c>
      <c r="C1222" s="19">
        <v>-7.5648540451540205</v>
      </c>
      <c r="D1222" s="5">
        <v>126162.59277572572</v>
      </c>
      <c r="E1222" s="6">
        <v>69.521171848523466</v>
      </c>
    </row>
    <row r="1223" spans="1:5" x14ac:dyDescent="0.3">
      <c r="A1223" s="4">
        <v>1220</v>
      </c>
      <c r="B1223" s="5">
        <v>44254.920365359365</v>
      </c>
      <c r="C1223" s="19">
        <v>-45.034265580070802</v>
      </c>
      <c r="D1223" s="5">
        <v>91790.311849796402</v>
      </c>
      <c r="E1223" s="6">
        <v>107.41266980483704</v>
      </c>
    </row>
    <row r="1224" spans="1:5" x14ac:dyDescent="0.3">
      <c r="A1224" s="4">
        <v>1221</v>
      </c>
      <c r="B1224" s="5">
        <v>38857.902485829516</v>
      </c>
      <c r="C1224" s="19">
        <v>-51.737498779379678</v>
      </c>
      <c r="D1224" s="5">
        <v>83169.247882476149</v>
      </c>
      <c r="E1224" s="6">
        <v>114.03432136566263</v>
      </c>
    </row>
    <row r="1225" spans="1:5" x14ac:dyDescent="0.3">
      <c r="A1225" s="4">
        <v>1222</v>
      </c>
      <c r="B1225" s="5">
        <v>123654.01662756155</v>
      </c>
      <c r="C1225" s="19">
        <v>53.581427371140755</v>
      </c>
      <c r="D1225" s="5">
        <v>215614.91691998168</v>
      </c>
      <c r="E1225" s="6">
        <v>74.369521347131666</v>
      </c>
    </row>
    <row r="1226" spans="1:5" x14ac:dyDescent="0.3">
      <c r="A1226" s="4">
        <v>1223</v>
      </c>
      <c r="B1226" s="5">
        <v>39857.308066742626</v>
      </c>
      <c r="C1226" s="19">
        <v>-50.496211679894479</v>
      </c>
      <c r="D1226" s="5">
        <v>79134.334607718803</v>
      </c>
      <c r="E1226" s="6">
        <v>98.544102565093596</v>
      </c>
    </row>
    <row r="1227" spans="1:5" x14ac:dyDescent="0.3">
      <c r="A1227" s="4">
        <v>1224</v>
      </c>
      <c r="B1227" s="5">
        <v>80700.348551063391</v>
      </c>
      <c r="C1227" s="19">
        <v>0.23188132376720785</v>
      </c>
      <c r="D1227" s="5">
        <v>161653.16006470559</v>
      </c>
      <c r="E1227" s="6">
        <v>100.31283999029949</v>
      </c>
    </row>
    <row r="1228" spans="1:5" x14ac:dyDescent="0.3">
      <c r="A1228" s="4">
        <v>1225</v>
      </c>
      <c r="B1228" s="5">
        <v>82788.998025475012</v>
      </c>
      <c r="C1228" s="19">
        <v>2.8260369873416713</v>
      </c>
      <c r="D1228" s="5">
        <v>169248.72728740663</v>
      </c>
      <c r="E1228" s="6">
        <v>104.43383942794799</v>
      </c>
    </row>
    <row r="1229" spans="1:5" x14ac:dyDescent="0.3">
      <c r="A1229" s="4">
        <v>1226</v>
      </c>
      <c r="B1229" s="5">
        <v>77562.175519482174</v>
      </c>
      <c r="C1229" s="19">
        <v>-3.6658092379515681</v>
      </c>
      <c r="D1229" s="5">
        <v>146601.25176292646</v>
      </c>
      <c r="E1229" s="6">
        <v>89.011268419234781</v>
      </c>
    </row>
    <row r="1230" spans="1:5" x14ac:dyDescent="0.3">
      <c r="A1230" s="4">
        <v>1227</v>
      </c>
      <c r="B1230" s="5">
        <v>52099.500269720789</v>
      </c>
      <c r="C1230" s="19">
        <v>-35.291098219260157</v>
      </c>
      <c r="D1230" s="5">
        <v>103162.42873015732</v>
      </c>
      <c r="E1230" s="6">
        <v>98.010399708408158</v>
      </c>
    </row>
    <row r="1231" spans="1:5" x14ac:dyDescent="0.3">
      <c r="A1231" s="4">
        <v>1228</v>
      </c>
      <c r="B1231" s="5">
        <v>72020.138566738489</v>
      </c>
      <c r="C1231" s="19">
        <v>-10.549159807222656</v>
      </c>
      <c r="D1231" s="5">
        <v>118656.56049416389</v>
      </c>
      <c r="E1231" s="6">
        <v>64.754696194050069</v>
      </c>
    </row>
    <row r="1232" spans="1:5" x14ac:dyDescent="0.3">
      <c r="A1232" s="4">
        <v>1229</v>
      </c>
      <c r="B1232" s="5">
        <v>88557.257055178983</v>
      </c>
      <c r="C1232" s="19">
        <v>9.9903611184103536</v>
      </c>
      <c r="D1232" s="5">
        <v>153961.56997386704</v>
      </c>
      <c r="E1232" s="6">
        <v>73.85539603822123</v>
      </c>
    </row>
    <row r="1233" spans="1:5" x14ac:dyDescent="0.3">
      <c r="A1233" s="4">
        <v>1230</v>
      </c>
      <c r="B1233" s="5">
        <v>50740.166313289767</v>
      </c>
      <c r="C1233" s="19">
        <v>-36.979425497229094</v>
      </c>
      <c r="D1233" s="5">
        <v>91040.227762549097</v>
      </c>
      <c r="E1233" s="6">
        <v>79.424377918729874</v>
      </c>
    </row>
    <row r="1234" spans="1:5" x14ac:dyDescent="0.3">
      <c r="A1234" s="4">
        <v>1231</v>
      </c>
      <c r="B1234" s="5">
        <v>70361.156460503567</v>
      </c>
      <c r="C1234" s="19">
        <v>-12.609657693240784</v>
      </c>
      <c r="D1234" s="5">
        <v>112100.71095251391</v>
      </c>
      <c r="E1234" s="6">
        <v>59.321871031838945</v>
      </c>
    </row>
    <row r="1235" spans="1:5" x14ac:dyDescent="0.3">
      <c r="A1235" s="4">
        <v>1232</v>
      </c>
      <c r="B1235" s="5">
        <v>28877.007807677917</v>
      </c>
      <c r="C1235" s="19">
        <v>-64.13402331548501</v>
      </c>
      <c r="D1235" s="5">
        <v>50892.688587759862</v>
      </c>
      <c r="E1235" s="6">
        <v>76.239480650860031</v>
      </c>
    </row>
    <row r="1236" spans="1:5" x14ac:dyDescent="0.3">
      <c r="A1236" s="4">
        <v>1233</v>
      </c>
      <c r="B1236" s="5">
        <v>73927.296786430088</v>
      </c>
      <c r="C1236" s="19">
        <v>-8.1804208888173697</v>
      </c>
      <c r="D1236" s="5">
        <v>137054.2686222081</v>
      </c>
      <c r="E1236" s="6">
        <v>85.390612912773832</v>
      </c>
    </row>
    <row r="1237" spans="1:5" x14ac:dyDescent="0.3">
      <c r="A1237" s="4">
        <v>1234</v>
      </c>
      <c r="B1237" s="5">
        <v>60876.290175622526</v>
      </c>
      <c r="C1237" s="19">
        <v>-24.390102374176056</v>
      </c>
      <c r="D1237" s="5">
        <v>110419.9955752173</v>
      </c>
      <c r="E1237" s="6">
        <v>81.384238850077296</v>
      </c>
    </row>
    <row r="1238" spans="1:5" x14ac:dyDescent="0.3">
      <c r="A1238" s="4">
        <v>1235</v>
      </c>
      <c r="B1238" s="5">
        <v>39549.206895328069</v>
      </c>
      <c r="C1238" s="19">
        <v>-50.87888115534782</v>
      </c>
      <c r="D1238" s="5">
        <v>81079.437287710563</v>
      </c>
      <c r="E1238" s="6">
        <v>105.00900941527715</v>
      </c>
    </row>
    <row r="1239" spans="1:5" x14ac:dyDescent="0.3">
      <c r="A1239" s="4">
        <v>1236</v>
      </c>
      <c r="B1239" s="5">
        <v>73080.303011231124</v>
      </c>
      <c r="C1239" s="19">
        <v>-9.2324086569246422</v>
      </c>
      <c r="D1239" s="5">
        <v>136725.3205518196</v>
      </c>
      <c r="E1239" s="6">
        <v>87.089153873386906</v>
      </c>
    </row>
    <row r="1240" spans="1:5" x14ac:dyDescent="0.3">
      <c r="A1240" s="4">
        <v>1237</v>
      </c>
      <c r="B1240" s="5">
        <v>128672.31394148045</v>
      </c>
      <c r="C1240" s="19">
        <v>59.814280014866675</v>
      </c>
      <c r="D1240" s="5">
        <v>205584.70539836987</v>
      </c>
      <c r="E1240" s="6">
        <v>59.773846526043528</v>
      </c>
    </row>
    <row r="1241" spans="1:5" x14ac:dyDescent="0.3">
      <c r="A1241" s="4">
        <v>1238</v>
      </c>
      <c r="B1241" s="5">
        <v>55376.39579151076</v>
      </c>
      <c r="C1241" s="19">
        <v>-31.221110803498142</v>
      </c>
      <c r="D1241" s="5">
        <v>86549.113803843647</v>
      </c>
      <c r="E1241" s="6">
        <v>56.292428509967571</v>
      </c>
    </row>
    <row r="1242" spans="1:5" x14ac:dyDescent="0.3">
      <c r="A1242" s="4">
        <v>1239</v>
      </c>
      <c r="B1242" s="5">
        <v>41655.65883610498</v>
      </c>
      <c r="C1242" s="19">
        <v>-48.262614376666257</v>
      </c>
      <c r="D1242" s="5">
        <v>81062.847659463383</v>
      </c>
      <c r="E1242" s="6">
        <v>94.602245947919755</v>
      </c>
    </row>
    <row r="1243" spans="1:5" x14ac:dyDescent="0.3">
      <c r="A1243" s="4">
        <v>1240</v>
      </c>
      <c r="B1243" s="5">
        <v>28592.29420561163</v>
      </c>
      <c r="C1243" s="19">
        <v>-64.487644836159291</v>
      </c>
      <c r="D1243" s="5">
        <v>55920.125798574321</v>
      </c>
      <c r="E1243" s="6">
        <v>95.577610514371486</v>
      </c>
    </row>
    <row r="1244" spans="1:5" x14ac:dyDescent="0.3">
      <c r="A1244" s="4">
        <v>1241</v>
      </c>
      <c r="B1244" s="5">
        <v>46590.932706909101</v>
      </c>
      <c r="C1244" s="19">
        <v>-42.132878956679527</v>
      </c>
      <c r="D1244" s="5">
        <v>88643.748643162937</v>
      </c>
      <c r="E1244" s="6">
        <v>90.259656746510473</v>
      </c>
    </row>
    <row r="1245" spans="1:5" x14ac:dyDescent="0.3">
      <c r="A1245" s="4">
        <v>1242</v>
      </c>
      <c r="B1245" s="5">
        <v>27720.982473299326</v>
      </c>
      <c r="C1245" s="19">
        <v>-65.569836124265962</v>
      </c>
      <c r="D1245" s="5">
        <v>61504.613204901863</v>
      </c>
      <c r="E1245" s="6">
        <v>121.87025032082724</v>
      </c>
    </row>
    <row r="1246" spans="1:5" x14ac:dyDescent="0.3">
      <c r="A1246" s="4">
        <v>1243</v>
      </c>
      <c r="B1246" s="5">
        <v>45486.313794844245</v>
      </c>
      <c r="C1246" s="19">
        <v>-43.504843684093515</v>
      </c>
      <c r="D1246" s="5">
        <v>91993.894407162588</v>
      </c>
      <c r="E1246" s="6">
        <v>102.24521780788895</v>
      </c>
    </row>
    <row r="1247" spans="1:5" x14ac:dyDescent="0.3">
      <c r="A1247" s="4">
        <v>1244</v>
      </c>
      <c r="B1247" s="5">
        <v>77239.832975638346</v>
      </c>
      <c r="C1247" s="19">
        <v>-4.0661668594519531</v>
      </c>
      <c r="D1247" s="5">
        <v>164457.53948676892</v>
      </c>
      <c r="E1247" s="6">
        <v>112.91804131508061</v>
      </c>
    </row>
    <row r="1248" spans="1:5" x14ac:dyDescent="0.3">
      <c r="A1248" s="4">
        <v>1245</v>
      </c>
      <c r="B1248" s="5">
        <v>76538.752958727666</v>
      </c>
      <c r="C1248" s="19">
        <v>-4.9369260360246798</v>
      </c>
      <c r="D1248" s="5">
        <v>147953.171415705</v>
      </c>
      <c r="E1248" s="6">
        <v>93.304915087245348</v>
      </c>
    </row>
    <row r="1249" spans="1:5" x14ac:dyDescent="0.3">
      <c r="A1249" s="4">
        <v>1246</v>
      </c>
      <c r="B1249" s="5">
        <v>113221.5156387178</v>
      </c>
      <c r="C1249" s="19">
        <v>40.623996333996963</v>
      </c>
      <c r="D1249" s="5">
        <v>223007.44973573173</v>
      </c>
      <c r="E1249" s="6">
        <v>96.965610712484562</v>
      </c>
    </row>
    <row r="1250" spans="1:5" x14ac:dyDescent="0.3">
      <c r="A1250" s="4">
        <v>1247</v>
      </c>
      <c r="B1250" s="5">
        <v>107629.34170056724</v>
      </c>
      <c r="C1250" s="19">
        <v>33.678374356219457</v>
      </c>
      <c r="D1250" s="5">
        <v>187223.74587902092</v>
      </c>
      <c r="E1250" s="6">
        <v>73.952328352886497</v>
      </c>
    </row>
    <row r="1251" spans="1:5" x14ac:dyDescent="0.3">
      <c r="A1251" s="4">
        <v>1248</v>
      </c>
      <c r="B1251" s="5">
        <v>32520.167090441086</v>
      </c>
      <c r="C1251" s="19">
        <v>-59.609127011692195</v>
      </c>
      <c r="D1251" s="5">
        <v>64397.199235610758</v>
      </c>
      <c r="E1251" s="6">
        <v>98.022350428019621</v>
      </c>
    </row>
    <row r="1252" spans="1:5" x14ac:dyDescent="0.3">
      <c r="A1252" s="4">
        <v>1249</v>
      </c>
      <c r="B1252" s="5">
        <v>52919.383620296285</v>
      </c>
      <c r="C1252" s="19">
        <v>-34.272782286681291</v>
      </c>
      <c r="D1252" s="5">
        <v>104067.88499413111</v>
      </c>
      <c r="E1252" s="6">
        <v>96.653622689244116</v>
      </c>
    </row>
    <row r="1253" spans="1:5" x14ac:dyDescent="0.3">
      <c r="A1253" s="4">
        <v>1250</v>
      </c>
      <c r="B1253" s="5">
        <v>49766.577315752096</v>
      </c>
      <c r="C1253" s="19">
        <v>-38.188647744857604</v>
      </c>
      <c r="D1253" s="5">
        <v>98975.563518313167</v>
      </c>
      <c r="E1253" s="6">
        <v>98.879587178251583</v>
      </c>
    </row>
    <row r="1254" spans="1:5" x14ac:dyDescent="0.3">
      <c r="A1254" s="4">
        <v>1251</v>
      </c>
      <c r="B1254" s="5">
        <v>177012.65849022003</v>
      </c>
      <c r="C1254" s="19">
        <v>119.85421497120011</v>
      </c>
      <c r="D1254" s="5">
        <v>324427.30997677712</v>
      </c>
      <c r="E1254" s="6">
        <v>83.279157967508738</v>
      </c>
    </row>
    <row r="1255" spans="1:5" x14ac:dyDescent="0.3">
      <c r="A1255" s="4">
        <v>1252</v>
      </c>
      <c r="B1255" s="5">
        <v>72125.559383511762</v>
      </c>
      <c r="C1255" s="19">
        <v>-10.418224476885301</v>
      </c>
      <c r="D1255" s="5">
        <v>140640.03229437975</v>
      </c>
      <c r="E1255" s="6">
        <v>94.993333149150899</v>
      </c>
    </row>
    <row r="1256" spans="1:5" x14ac:dyDescent="0.3">
      <c r="A1256" s="4">
        <v>1253</v>
      </c>
      <c r="B1256" s="5">
        <v>50149.235985539774</v>
      </c>
      <c r="C1256" s="19">
        <v>-37.713375963925955</v>
      </c>
      <c r="D1256" s="5">
        <v>101111.03997689334</v>
      </c>
      <c r="E1256" s="6">
        <v>101.6202998706662</v>
      </c>
    </row>
    <row r="1257" spans="1:5" x14ac:dyDescent="0.3">
      <c r="A1257" s="4">
        <v>1254</v>
      </c>
      <c r="B1257" s="5">
        <v>47856.413256462787</v>
      </c>
      <c r="C1257" s="19">
        <v>-40.561119992340714</v>
      </c>
      <c r="D1257" s="5">
        <v>91419.470502740107</v>
      </c>
      <c r="E1257" s="6">
        <v>91.028671565548919</v>
      </c>
    </row>
    <row r="1258" spans="1:5" x14ac:dyDescent="0.3">
      <c r="A1258" s="4">
        <v>1255</v>
      </c>
      <c r="B1258" s="5">
        <v>73350.562297441531</v>
      </c>
      <c r="C1258" s="19">
        <v>-8.8967397634384255</v>
      </c>
      <c r="D1258" s="5">
        <v>137175.05577876497</v>
      </c>
      <c r="E1258" s="6">
        <v>87.012957341091351</v>
      </c>
    </row>
    <row r="1259" spans="1:5" x14ac:dyDescent="0.3">
      <c r="A1259" s="4">
        <v>1256</v>
      </c>
      <c r="B1259" s="5">
        <v>71931.742024963882</v>
      </c>
      <c r="C1259" s="19">
        <v>-10.658950555883148</v>
      </c>
      <c r="D1259" s="5">
        <v>126294.60298026544</v>
      </c>
      <c r="E1259" s="6">
        <v>75.575621311152091</v>
      </c>
    </row>
    <row r="1260" spans="1:5" x14ac:dyDescent="0.3">
      <c r="A1260" s="4">
        <v>1257</v>
      </c>
      <c r="B1260" s="5">
        <v>33693.0329899262</v>
      </c>
      <c r="C1260" s="19">
        <v>-58.152397793583553</v>
      </c>
      <c r="D1260" s="5">
        <v>70142.119841805339</v>
      </c>
      <c r="E1260" s="6">
        <v>108.17989245069437</v>
      </c>
    </row>
    <row r="1261" spans="1:5" x14ac:dyDescent="0.3">
      <c r="A1261" s="4">
        <v>1258</v>
      </c>
      <c r="B1261" s="5">
        <v>38735.197061740808</v>
      </c>
      <c r="C1261" s="19">
        <v>-51.889902030739357</v>
      </c>
      <c r="D1261" s="5">
        <v>88537.083401301192</v>
      </c>
      <c r="E1261" s="6">
        <v>128.57011224231067</v>
      </c>
    </row>
    <row r="1262" spans="1:5" x14ac:dyDescent="0.3">
      <c r="A1262" s="4">
        <v>1259</v>
      </c>
      <c r="B1262" s="5">
        <v>57845.401805514113</v>
      </c>
      <c r="C1262" s="19">
        <v>-28.154542663130538</v>
      </c>
      <c r="D1262" s="5">
        <v>104391.94625931865</v>
      </c>
      <c r="E1262" s="6">
        <v>80.467146913944475</v>
      </c>
    </row>
    <row r="1263" spans="1:5" x14ac:dyDescent="0.3">
      <c r="A1263" s="4">
        <v>1260</v>
      </c>
      <c r="B1263" s="5">
        <v>98845.32420827671</v>
      </c>
      <c r="C1263" s="19">
        <v>22.768401665382079</v>
      </c>
      <c r="D1263" s="5">
        <v>182092.42933502217</v>
      </c>
      <c r="E1263" s="6">
        <v>84.219568091390656</v>
      </c>
    </row>
    <row r="1264" spans="1:5" x14ac:dyDescent="0.3">
      <c r="A1264" s="4">
        <v>1261</v>
      </c>
      <c r="B1264" s="5">
        <v>47359.672788080774</v>
      </c>
      <c r="C1264" s="19">
        <v>-41.178084262873874</v>
      </c>
      <c r="D1264" s="5">
        <v>91435.649159291788</v>
      </c>
      <c r="E1264" s="6">
        <v>93.066471486061062</v>
      </c>
    </row>
    <row r="1265" spans="1:5" x14ac:dyDescent="0.3">
      <c r="A1265" s="4">
        <v>1262</v>
      </c>
      <c r="B1265" s="5">
        <v>53247.249169197246</v>
      </c>
      <c r="C1265" s="19">
        <v>-33.865564952709072</v>
      </c>
      <c r="D1265" s="5">
        <v>97148.681530254762</v>
      </c>
      <c r="E1265" s="6">
        <v>82.448263611810873</v>
      </c>
    </row>
    <row r="1266" spans="1:5" x14ac:dyDescent="0.3">
      <c r="A1266" s="4">
        <v>1263</v>
      </c>
      <c r="B1266" s="5">
        <v>38381.92517650903</v>
      </c>
      <c r="C1266" s="19">
        <v>-52.328674679325502</v>
      </c>
      <c r="D1266" s="5">
        <v>83745.915981697282</v>
      </c>
      <c r="E1266" s="6">
        <v>118.19102506341311</v>
      </c>
    </row>
    <row r="1267" spans="1:5" x14ac:dyDescent="0.3">
      <c r="A1267" s="4">
        <v>1264</v>
      </c>
      <c r="B1267" s="5">
        <v>101326.69127587898</v>
      </c>
      <c r="C1267" s="19">
        <v>25.850322548081145</v>
      </c>
      <c r="D1267" s="5">
        <v>190619.35526418078</v>
      </c>
      <c r="E1267" s="6">
        <v>88.123536714711705</v>
      </c>
    </row>
    <row r="1268" spans="1:5" x14ac:dyDescent="0.3">
      <c r="A1268" s="4">
        <v>1265</v>
      </c>
      <c r="B1268" s="5">
        <v>42408.869387399129</v>
      </c>
      <c r="C1268" s="19">
        <v>-47.327107753155772</v>
      </c>
      <c r="D1268" s="5">
        <v>81568.568342727842</v>
      </c>
      <c r="E1268" s="6">
        <v>92.338464856514577</v>
      </c>
    </row>
    <row r="1269" spans="1:5" x14ac:dyDescent="0.3">
      <c r="A1269" s="4">
        <v>1266</v>
      </c>
      <c r="B1269" s="5">
        <v>40229.172559284234</v>
      </c>
      <c r="C1269" s="19">
        <v>-50.034346541091899</v>
      </c>
      <c r="D1269" s="5">
        <v>74971.760056616244</v>
      </c>
      <c r="E1269" s="6">
        <v>86.361675587866372</v>
      </c>
    </row>
    <row r="1270" spans="1:5" x14ac:dyDescent="0.3">
      <c r="A1270" s="4">
        <v>1267</v>
      </c>
      <c r="B1270" s="5">
        <v>87636.21474487368</v>
      </c>
      <c r="C1270" s="19">
        <v>8.8464031901211708</v>
      </c>
      <c r="D1270" s="5">
        <v>127299.57639840132</v>
      </c>
      <c r="E1270" s="6">
        <v>45.259099527513271</v>
      </c>
    </row>
    <row r="1271" spans="1:5" x14ac:dyDescent="0.3">
      <c r="A1271" s="4">
        <v>1268</v>
      </c>
      <c r="B1271" s="5">
        <v>81148.911972409885</v>
      </c>
      <c r="C1271" s="19">
        <v>0.78900847900044735</v>
      </c>
      <c r="D1271" s="5">
        <v>147903.10889028196</v>
      </c>
      <c r="E1271" s="6">
        <v>82.261357910218294</v>
      </c>
    </row>
    <row r="1272" spans="1:5" x14ac:dyDescent="0.3">
      <c r="A1272" s="4">
        <v>1269</v>
      </c>
      <c r="B1272" s="5">
        <v>55599.53893005928</v>
      </c>
      <c r="C1272" s="19">
        <v>-30.943961361360898</v>
      </c>
      <c r="D1272" s="5">
        <v>115574.51639740868</v>
      </c>
      <c r="E1272" s="6">
        <v>107.86955903140519</v>
      </c>
    </row>
    <row r="1273" spans="1:5" x14ac:dyDescent="0.3">
      <c r="A1273" s="4">
        <v>1270</v>
      </c>
      <c r="B1273" s="5">
        <v>73289.4504282665</v>
      </c>
      <c r="C1273" s="19">
        <v>-8.9726422561612349</v>
      </c>
      <c r="D1273" s="5">
        <v>126377.87797916561</v>
      </c>
      <c r="E1273" s="6">
        <v>72.436656627491644</v>
      </c>
    </row>
    <row r="1274" spans="1:5" x14ac:dyDescent="0.3">
      <c r="A1274" s="4">
        <v>1271</v>
      </c>
      <c r="B1274" s="5">
        <v>86378.205138708945</v>
      </c>
      <c r="C1274" s="19">
        <v>7.2839233271069812</v>
      </c>
      <c r="D1274" s="5">
        <v>137018.2422719376</v>
      </c>
      <c r="E1274" s="6">
        <v>58.625942796460329</v>
      </c>
    </row>
    <row r="1275" spans="1:5" x14ac:dyDescent="0.3">
      <c r="A1275" s="4">
        <v>1272</v>
      </c>
      <c r="B1275" s="5">
        <v>55908.182877001345</v>
      </c>
      <c r="C1275" s="19">
        <v>-30.560617744925072</v>
      </c>
      <c r="D1275" s="5">
        <v>100622.26487743853</v>
      </c>
      <c r="E1275" s="6">
        <v>79.977705765913882</v>
      </c>
    </row>
    <row r="1276" spans="1:5" x14ac:dyDescent="0.3">
      <c r="A1276" s="4">
        <v>1273</v>
      </c>
      <c r="B1276" s="5">
        <v>70294.102631707152</v>
      </c>
      <c r="C1276" s="19">
        <v>-12.692940250638586</v>
      </c>
      <c r="D1276" s="5">
        <v>119308.27813796815</v>
      </c>
      <c r="E1276" s="6">
        <v>69.727293857155615</v>
      </c>
    </row>
    <row r="1277" spans="1:5" x14ac:dyDescent="0.3">
      <c r="A1277" s="4">
        <v>1274</v>
      </c>
      <c r="B1277" s="5">
        <v>42565.777785132603</v>
      </c>
      <c r="C1277" s="19">
        <v>-47.132223540352499</v>
      </c>
      <c r="D1277" s="5">
        <v>97416.707560449504</v>
      </c>
      <c r="E1277" s="6">
        <v>128.86157056074109</v>
      </c>
    </row>
    <row r="1278" spans="1:5" x14ac:dyDescent="0.3">
      <c r="A1278" s="4">
        <v>1275</v>
      </c>
      <c r="B1278" s="5">
        <v>121215.51441457693</v>
      </c>
      <c r="C1278" s="19">
        <v>50.552745725918825</v>
      </c>
      <c r="D1278" s="5">
        <v>262362.18607829243</v>
      </c>
      <c r="E1278" s="6">
        <v>116.44274443366281</v>
      </c>
    </row>
    <row r="1279" spans="1:5" x14ac:dyDescent="0.3">
      <c r="A1279" s="4">
        <v>1276</v>
      </c>
      <c r="B1279" s="5">
        <v>44846.668205026785</v>
      </c>
      <c r="C1279" s="19">
        <v>-44.299299742821532</v>
      </c>
      <c r="D1279" s="5">
        <v>87931.796880014546</v>
      </c>
      <c r="E1279" s="6">
        <v>96.072083834665833</v>
      </c>
    </row>
    <row r="1280" spans="1:5" x14ac:dyDescent="0.3">
      <c r="A1280" s="4">
        <v>1277</v>
      </c>
      <c r="B1280" s="5">
        <v>149990.03840758835</v>
      </c>
      <c r="C1280" s="19">
        <v>86.291434911263224</v>
      </c>
      <c r="D1280" s="5">
        <v>234876.51074574603</v>
      </c>
      <c r="E1280" s="6">
        <v>56.594740050325285</v>
      </c>
    </row>
    <row r="1281" spans="1:5" x14ac:dyDescent="0.3">
      <c r="A1281" s="4">
        <v>1278</v>
      </c>
      <c r="B1281" s="5">
        <v>46487.121848311835</v>
      </c>
      <c r="C1281" s="19">
        <v>-42.261814678096584</v>
      </c>
      <c r="D1281" s="5">
        <v>91608.714400126482</v>
      </c>
      <c r="E1281" s="6">
        <v>97.062564335660682</v>
      </c>
    </row>
    <row r="1282" spans="1:5" x14ac:dyDescent="0.3">
      <c r="A1282" s="4">
        <v>1279</v>
      </c>
      <c r="B1282" s="5">
        <v>121447.6218316981</v>
      </c>
      <c r="C1282" s="19">
        <v>50.841029029584284</v>
      </c>
      <c r="D1282" s="5">
        <v>203272.30514754303</v>
      </c>
      <c r="E1282" s="6">
        <v>67.374463230937067</v>
      </c>
    </row>
    <row r="1283" spans="1:5" x14ac:dyDescent="0.3">
      <c r="A1283" s="4">
        <v>1280</v>
      </c>
      <c r="B1283" s="5">
        <v>51085.052058671827</v>
      </c>
      <c r="C1283" s="19">
        <v>-36.551068647202349</v>
      </c>
      <c r="D1283" s="5">
        <v>105024.56912599494</v>
      </c>
      <c r="E1283" s="6">
        <v>105.58767172317431</v>
      </c>
    </row>
    <row r="1284" spans="1:5" x14ac:dyDescent="0.3">
      <c r="A1284" s="4">
        <v>1281</v>
      </c>
      <c r="B1284" s="5">
        <v>73273.584716351485</v>
      </c>
      <c r="C1284" s="19">
        <v>-8.992347873080309</v>
      </c>
      <c r="D1284" s="5">
        <v>115035.81467360916</v>
      </c>
      <c r="E1284" s="6">
        <v>56.994932237753829</v>
      </c>
    </row>
    <row r="1285" spans="1:5" x14ac:dyDescent="0.3">
      <c r="A1285" s="4">
        <v>1282</v>
      </c>
      <c r="B1285" s="5">
        <v>50537.245192679868</v>
      </c>
      <c r="C1285" s="19">
        <v>-37.231458679789483</v>
      </c>
      <c r="D1285" s="5">
        <v>102366.98674710988</v>
      </c>
      <c r="E1285" s="6">
        <v>102.55751249760911</v>
      </c>
    </row>
    <row r="1286" spans="1:5" x14ac:dyDescent="0.3">
      <c r="A1286" s="4">
        <v>1283</v>
      </c>
      <c r="B1286" s="5">
        <v>66893.787847339117</v>
      </c>
      <c r="C1286" s="19">
        <v>-16.916217523283485</v>
      </c>
      <c r="D1286" s="5">
        <v>138366.40614985611</v>
      </c>
      <c r="E1286" s="6">
        <v>106.84492626673705</v>
      </c>
    </row>
    <row r="1287" spans="1:5" x14ac:dyDescent="0.3">
      <c r="A1287" s="4">
        <v>1284</v>
      </c>
      <c r="B1287" s="5">
        <v>54371.69840665294</v>
      </c>
      <c r="C1287" s="19">
        <v>-32.468970457804943</v>
      </c>
      <c r="D1287" s="5">
        <v>104576.53506433123</v>
      </c>
      <c r="E1287" s="6">
        <v>92.336340649486132</v>
      </c>
    </row>
    <row r="1288" spans="1:5" x14ac:dyDescent="0.3">
      <c r="A1288" s="4">
        <v>1285</v>
      </c>
      <c r="B1288" s="5">
        <v>88523.843214484354</v>
      </c>
      <c r="C1288" s="19">
        <v>9.9488602801214565</v>
      </c>
      <c r="D1288" s="5">
        <v>184106.13663096409</v>
      </c>
      <c r="E1288" s="6">
        <v>107.97350176595188</v>
      </c>
    </row>
    <row r="1289" spans="1:5" x14ac:dyDescent="0.3">
      <c r="A1289" s="4">
        <v>1286</v>
      </c>
      <c r="B1289" s="5">
        <v>55843.691369541957</v>
      </c>
      <c r="C1289" s="19">
        <v>-30.640717834182681</v>
      </c>
      <c r="D1289" s="5">
        <v>110341.03049346145</v>
      </c>
      <c r="E1289" s="6">
        <v>97.589070112301386</v>
      </c>
    </row>
    <row r="1290" spans="1:5" x14ac:dyDescent="0.3">
      <c r="A1290" s="4">
        <v>1287</v>
      </c>
      <c r="B1290" s="5">
        <v>62694.006156690215</v>
      </c>
      <c r="C1290" s="19">
        <v>-22.1324529864611</v>
      </c>
      <c r="D1290" s="5">
        <v>134957.57700126347</v>
      </c>
      <c r="E1290" s="6">
        <v>115.26392278069768</v>
      </c>
    </row>
    <row r="1291" spans="1:5" x14ac:dyDescent="0.3">
      <c r="A1291" s="4">
        <v>1288</v>
      </c>
      <c r="B1291" s="5">
        <v>53345.7453984604</v>
      </c>
      <c r="C1291" s="19">
        <v>-33.743230135826636</v>
      </c>
      <c r="D1291" s="5">
        <v>104276.43528910742</v>
      </c>
      <c r="E1291" s="6">
        <v>95.472824515292871</v>
      </c>
    </row>
    <row r="1292" spans="1:5" x14ac:dyDescent="0.3">
      <c r="A1292" s="4">
        <v>1289</v>
      </c>
      <c r="B1292" s="5">
        <v>50101.996572197291</v>
      </c>
      <c r="C1292" s="19">
        <v>-37.772048514379094</v>
      </c>
      <c r="D1292" s="5">
        <v>95974.158475752876</v>
      </c>
      <c r="E1292" s="6">
        <v>91.557552676475709</v>
      </c>
    </row>
    <row r="1293" spans="1:5" x14ac:dyDescent="0.3">
      <c r="A1293" s="4">
        <v>1290</v>
      </c>
      <c r="B1293" s="5">
        <v>79754.283434373909</v>
      </c>
      <c r="C1293" s="19">
        <v>-0.94315556520700505</v>
      </c>
      <c r="D1293" s="5">
        <v>154102.25123405948</v>
      </c>
      <c r="E1293" s="6">
        <v>93.221284924292576</v>
      </c>
    </row>
    <row r="1294" spans="1:5" x14ac:dyDescent="0.3">
      <c r="A1294" s="4">
        <v>1291</v>
      </c>
      <c r="B1294" s="5">
        <v>103055.97825750321</v>
      </c>
      <c r="C1294" s="19">
        <v>27.998140873887017</v>
      </c>
      <c r="D1294" s="5">
        <v>189271.95011594851</v>
      </c>
      <c r="E1294" s="6">
        <v>83.659360006286832</v>
      </c>
    </row>
    <row r="1295" spans="1:5" x14ac:dyDescent="0.3">
      <c r="A1295" s="4">
        <v>1292</v>
      </c>
      <c r="B1295" s="5">
        <v>56535.011266199552</v>
      </c>
      <c r="C1295" s="19">
        <v>-29.782080974706194</v>
      </c>
      <c r="D1295" s="5">
        <v>108520.16099971761</v>
      </c>
      <c r="E1295" s="6">
        <v>91.952134737785556</v>
      </c>
    </row>
    <row r="1296" spans="1:5" x14ac:dyDescent="0.3">
      <c r="A1296" s="4">
        <v>1293</v>
      </c>
      <c r="B1296" s="5">
        <v>53663.589724509795</v>
      </c>
      <c r="C1296" s="19">
        <v>-33.348459415005557</v>
      </c>
      <c r="D1296" s="5">
        <v>107216.7482111018</v>
      </c>
      <c r="E1296" s="6">
        <v>99.794215708481858</v>
      </c>
    </row>
    <row r="1297" spans="1:5" x14ac:dyDescent="0.3">
      <c r="A1297" s="4">
        <v>1294</v>
      </c>
      <c r="B1297" s="5">
        <v>65417.310410471</v>
      </c>
      <c r="C1297" s="19">
        <v>-18.750039977417547</v>
      </c>
      <c r="D1297" s="5">
        <v>109923.88068163792</v>
      </c>
      <c r="E1297" s="6">
        <v>68.034851925130496</v>
      </c>
    </row>
    <row r="1298" spans="1:5" x14ac:dyDescent="0.3">
      <c r="A1298" s="4">
        <v>1295</v>
      </c>
      <c r="B1298" s="5">
        <v>49590.527639426917</v>
      </c>
      <c r="C1298" s="19">
        <v>-38.407305911536369</v>
      </c>
      <c r="D1298" s="5">
        <v>103127.47004541451</v>
      </c>
      <c r="E1298" s="6">
        <v>107.95800116355908</v>
      </c>
    </row>
    <row r="1299" spans="1:5" x14ac:dyDescent="0.3">
      <c r="A1299" s="4">
        <v>1296</v>
      </c>
      <c r="B1299" s="5">
        <v>57892.811120546939</v>
      </c>
      <c r="C1299" s="19">
        <v>-28.095659090465368</v>
      </c>
      <c r="D1299" s="5">
        <v>118459.11733766992</v>
      </c>
      <c r="E1299" s="6">
        <v>104.61800877316041</v>
      </c>
    </row>
    <row r="1300" spans="1:5" x14ac:dyDescent="0.3">
      <c r="A1300" s="4">
        <v>1297</v>
      </c>
      <c r="B1300" s="5">
        <v>62634.59479605504</v>
      </c>
      <c r="C1300" s="19">
        <v>-22.206243404413268</v>
      </c>
      <c r="D1300" s="5">
        <v>138150.64939968011</v>
      </c>
      <c r="E1300" s="6">
        <v>120.56604636704915</v>
      </c>
    </row>
    <row r="1301" spans="1:5" x14ac:dyDescent="0.3">
      <c r="A1301" s="4">
        <v>1298</v>
      </c>
      <c r="B1301" s="5">
        <v>72001.192837026218</v>
      </c>
      <c r="C1301" s="19">
        <v>-10.572690884426258</v>
      </c>
      <c r="D1301" s="5">
        <v>129313.77750000771</v>
      </c>
      <c r="E1301" s="6">
        <v>79.599493292712239</v>
      </c>
    </row>
    <row r="1302" spans="1:5" x14ac:dyDescent="0.3">
      <c r="A1302" s="4">
        <v>1299</v>
      </c>
      <c r="B1302" s="5">
        <v>112141.22635841936</v>
      </c>
      <c r="C1302" s="19">
        <v>39.282249626797835</v>
      </c>
      <c r="D1302" s="5">
        <v>198251.64461250271</v>
      </c>
      <c r="E1302" s="6">
        <v>76.787476872120322</v>
      </c>
    </row>
    <row r="1303" spans="1:5" x14ac:dyDescent="0.3">
      <c r="A1303" s="4">
        <v>1300</v>
      </c>
      <c r="B1303" s="5">
        <v>50876.709575255001</v>
      </c>
      <c r="C1303" s="19">
        <v>-36.809835299979824</v>
      </c>
      <c r="D1303" s="5">
        <v>97977.526797984698</v>
      </c>
      <c r="E1303" s="6">
        <v>92.578347963049495</v>
      </c>
    </row>
    <row r="1304" spans="1:5" x14ac:dyDescent="0.3">
      <c r="A1304" s="4">
        <v>1301</v>
      </c>
      <c r="B1304" s="5">
        <v>50007.101690038449</v>
      </c>
      <c r="C1304" s="19">
        <v>-37.889910366744687</v>
      </c>
      <c r="D1304" s="5">
        <v>89798.390745804252</v>
      </c>
      <c r="E1304" s="6">
        <v>79.571276300726581</v>
      </c>
    </row>
    <row r="1305" spans="1:5" x14ac:dyDescent="0.3">
      <c r="A1305" s="4">
        <v>1302</v>
      </c>
      <c r="B1305" s="5">
        <v>41932.92130635793</v>
      </c>
      <c r="C1305" s="19">
        <v>-47.918247350836822</v>
      </c>
      <c r="D1305" s="5">
        <v>78309.046916269042</v>
      </c>
      <c r="E1305" s="6">
        <v>86.748369721609905</v>
      </c>
    </row>
    <row r="1306" spans="1:5" x14ac:dyDescent="0.3">
      <c r="A1306" s="4">
        <v>1303</v>
      </c>
      <c r="B1306" s="5">
        <v>39565.311656275117</v>
      </c>
      <c r="C1306" s="19">
        <v>-50.858878633463164</v>
      </c>
      <c r="D1306" s="5">
        <v>78784.783543358237</v>
      </c>
      <c r="E1306" s="6">
        <v>99.125901567017877</v>
      </c>
    </row>
    <row r="1307" spans="1:5" x14ac:dyDescent="0.3">
      <c r="A1307" s="4">
        <v>1304</v>
      </c>
      <c r="B1307" s="5">
        <v>83178.727780915884</v>
      </c>
      <c r="C1307" s="19">
        <v>3.3100912361405208</v>
      </c>
      <c r="D1307" s="5">
        <v>149221.38632989358</v>
      </c>
      <c r="E1307" s="6">
        <v>79.398495638124189</v>
      </c>
    </row>
    <row r="1308" spans="1:5" x14ac:dyDescent="0.3">
      <c r="A1308" s="4">
        <v>1305</v>
      </c>
      <c r="B1308" s="5">
        <v>42584.461683642796</v>
      </c>
      <c r="C1308" s="19">
        <v>-47.109017664147963</v>
      </c>
      <c r="D1308" s="5">
        <v>89033.262912481106</v>
      </c>
      <c r="E1308" s="6">
        <v>109.07452951713572</v>
      </c>
    </row>
    <row r="1309" spans="1:5" x14ac:dyDescent="0.3">
      <c r="A1309" s="4">
        <v>1306</v>
      </c>
      <c r="B1309" s="5">
        <v>97902.725408112383</v>
      </c>
      <c r="C1309" s="19">
        <v>21.597670029517896</v>
      </c>
      <c r="D1309" s="5">
        <v>190127.56933140682</v>
      </c>
      <c r="E1309" s="6">
        <v>94.200486798350695</v>
      </c>
    </row>
    <row r="1310" spans="1:5" x14ac:dyDescent="0.3">
      <c r="A1310" s="4">
        <v>1307</v>
      </c>
      <c r="B1310" s="5">
        <v>97342.222478011594</v>
      </c>
      <c r="C1310" s="19">
        <v>20.901511163042397</v>
      </c>
      <c r="D1310" s="5">
        <v>160831.84236603265</v>
      </c>
      <c r="E1310" s="6">
        <v>65.223104909447258</v>
      </c>
    </row>
    <row r="1311" spans="1:5" x14ac:dyDescent="0.3">
      <c r="A1311" s="4">
        <v>1308</v>
      </c>
      <c r="B1311" s="5">
        <v>40781.088250227214</v>
      </c>
      <c r="C1311" s="19">
        <v>-49.348853243620972</v>
      </c>
      <c r="D1311" s="5">
        <v>74905.763782850729</v>
      </c>
      <c r="E1311" s="6">
        <v>83.677697179729833</v>
      </c>
    </row>
    <row r="1312" spans="1:5" x14ac:dyDescent="0.3">
      <c r="A1312" s="4">
        <v>1309</v>
      </c>
      <c r="B1312" s="5">
        <v>31703.225484079325</v>
      </c>
      <c r="C1312" s="19">
        <v>-60.623789223287083</v>
      </c>
      <c r="D1312" s="5">
        <v>62949.578262036121</v>
      </c>
      <c r="E1312" s="6">
        <v>98.558907810967185</v>
      </c>
    </row>
    <row r="1313" spans="1:5" x14ac:dyDescent="0.3">
      <c r="A1313" s="4">
        <v>1310</v>
      </c>
      <c r="B1313" s="5">
        <v>78534.853722579865</v>
      </c>
      <c r="C1313" s="19">
        <v>-2.4577182201362779</v>
      </c>
      <c r="D1313" s="5">
        <v>129656.15602495805</v>
      </c>
      <c r="E1313" s="6">
        <v>65.09377668539554</v>
      </c>
    </row>
    <row r="1314" spans="1:5" x14ac:dyDescent="0.3">
      <c r="A1314" s="4">
        <v>1311</v>
      </c>
      <c r="B1314" s="5">
        <v>62277.567608881538</v>
      </c>
      <c r="C1314" s="19">
        <v>-22.649680233332159</v>
      </c>
      <c r="D1314" s="5">
        <v>111903.37647620827</v>
      </c>
      <c r="E1314" s="6">
        <v>79.684886184041474</v>
      </c>
    </row>
    <row r="1315" spans="1:5" x14ac:dyDescent="0.3">
      <c r="A1315" s="4">
        <v>1312</v>
      </c>
      <c r="B1315" s="5">
        <v>63251.935454941151</v>
      </c>
      <c r="C1315" s="19">
        <v>-21.43949063606982</v>
      </c>
      <c r="D1315" s="5">
        <v>137474.80704947488</v>
      </c>
      <c r="E1315" s="6">
        <v>117.34482282745</v>
      </c>
    </row>
    <row r="1316" spans="1:5" x14ac:dyDescent="0.3">
      <c r="A1316" s="4">
        <v>1313</v>
      </c>
      <c r="B1316" s="5">
        <v>41493.896573469494</v>
      </c>
      <c r="C1316" s="19">
        <v>-48.463527212883868</v>
      </c>
      <c r="D1316" s="5">
        <v>85600.968972062547</v>
      </c>
      <c r="E1316" s="6">
        <v>106.29773542838197</v>
      </c>
    </row>
    <row r="1317" spans="1:5" x14ac:dyDescent="0.3">
      <c r="A1317" s="4">
        <v>1314</v>
      </c>
      <c r="B1317" s="5">
        <v>68950.259697750211</v>
      </c>
      <c r="C1317" s="19">
        <v>-14.36202728548486</v>
      </c>
      <c r="D1317" s="5">
        <v>133854.27320185068</v>
      </c>
      <c r="E1317" s="6">
        <v>94.131644737254319</v>
      </c>
    </row>
    <row r="1318" spans="1:5" x14ac:dyDescent="0.3">
      <c r="A1318" s="4">
        <v>1315</v>
      </c>
      <c r="B1318" s="5">
        <v>98078.33829646236</v>
      </c>
      <c r="C1318" s="19">
        <v>21.815785694444436</v>
      </c>
      <c r="D1318" s="5">
        <v>199904.29855442271</v>
      </c>
      <c r="E1318" s="6">
        <v>103.82104960849767</v>
      </c>
    </row>
    <row r="1319" spans="1:5" x14ac:dyDescent="0.3">
      <c r="A1319" s="4">
        <v>1316</v>
      </c>
      <c r="B1319" s="5">
        <v>83600.210010014722</v>
      </c>
      <c r="C1319" s="19">
        <v>3.8335828631981208</v>
      </c>
      <c r="D1319" s="5">
        <v>169226.26600800175</v>
      </c>
      <c r="E1319" s="6">
        <v>102.4232546637498</v>
      </c>
    </row>
    <row r="1320" spans="1:5" x14ac:dyDescent="0.3">
      <c r="A1320" s="4">
        <v>1317</v>
      </c>
      <c r="B1320" s="5">
        <v>73123.114759030635</v>
      </c>
      <c r="C1320" s="19">
        <v>-9.1792353794636607</v>
      </c>
      <c r="D1320" s="5">
        <v>142394.64455825725</v>
      </c>
      <c r="E1320" s="6">
        <v>94.732739473015471</v>
      </c>
    </row>
    <row r="1321" spans="1:5" x14ac:dyDescent="0.3">
      <c r="A1321" s="4">
        <v>1318</v>
      </c>
      <c r="B1321" s="5">
        <v>83884.578781763295</v>
      </c>
      <c r="C1321" s="19">
        <v>4.186776095864932</v>
      </c>
      <c r="D1321" s="5">
        <v>155372.72781109909</v>
      </c>
      <c r="E1321" s="6">
        <v>85.222039697334068</v>
      </c>
    </row>
    <row r="1322" spans="1:5" x14ac:dyDescent="0.3">
      <c r="A1322" s="4">
        <v>1319</v>
      </c>
      <c r="B1322" s="5">
        <v>88740.477931322093</v>
      </c>
      <c r="C1322" s="19">
        <v>10.217926097290125</v>
      </c>
      <c r="D1322" s="5">
        <v>156215.50151363155</v>
      </c>
      <c r="E1322" s="6">
        <v>76.036353595627048</v>
      </c>
    </row>
    <row r="1323" spans="1:5" x14ac:dyDescent="0.3">
      <c r="A1323" s="4">
        <v>1320</v>
      </c>
      <c r="B1323" s="5">
        <v>74895.889534029862</v>
      </c>
      <c r="C1323" s="19">
        <v>-6.9774041104319338</v>
      </c>
      <c r="D1323" s="5">
        <v>115285.96374820698</v>
      </c>
      <c r="E1323" s="6">
        <v>53.928292280747122</v>
      </c>
    </row>
    <row r="1324" spans="1:5" x14ac:dyDescent="0.3">
      <c r="A1324" s="4">
        <v>1321</v>
      </c>
      <c r="B1324" s="5">
        <v>55107.151695533372</v>
      </c>
      <c r="C1324" s="19">
        <v>-31.555518804946292</v>
      </c>
      <c r="D1324" s="5">
        <v>95837.355115956656</v>
      </c>
      <c r="E1324" s="6">
        <v>73.910921118655111</v>
      </c>
    </row>
    <row r="1325" spans="1:5" x14ac:dyDescent="0.3">
      <c r="A1325" s="4">
        <v>1322</v>
      </c>
      <c r="B1325" s="5">
        <v>36528.530922463127</v>
      </c>
      <c r="C1325" s="19">
        <v>-54.630637387703828</v>
      </c>
      <c r="D1325" s="5">
        <v>76359.460783571674</v>
      </c>
      <c r="E1325" s="6">
        <v>109.04060156608877</v>
      </c>
    </row>
    <row r="1326" spans="1:5" x14ac:dyDescent="0.3">
      <c r="A1326" s="4">
        <v>1323</v>
      </c>
      <c r="B1326" s="5">
        <v>67199.320358851939</v>
      </c>
      <c r="C1326" s="19">
        <v>-16.536738388628596</v>
      </c>
      <c r="D1326" s="5">
        <v>123606.5884649412</v>
      </c>
      <c r="E1326" s="6">
        <v>83.940236009632386</v>
      </c>
    </row>
    <row r="1327" spans="1:5" x14ac:dyDescent="0.3">
      <c r="A1327" s="4">
        <v>1324</v>
      </c>
      <c r="B1327" s="5">
        <v>179007.19063520734</v>
      </c>
      <c r="C1327" s="19">
        <v>122.33147452264194</v>
      </c>
      <c r="D1327" s="5">
        <v>316716.21635300224</v>
      </c>
      <c r="E1327" s="6">
        <v>76.929326262891536</v>
      </c>
    </row>
    <row r="1328" spans="1:5" x14ac:dyDescent="0.3">
      <c r="A1328" s="4">
        <v>1325</v>
      </c>
      <c r="B1328" s="5">
        <v>45446.993855606517</v>
      </c>
      <c r="C1328" s="19">
        <v>-43.553680046687909</v>
      </c>
      <c r="D1328" s="5">
        <v>83449.9190709658</v>
      </c>
      <c r="E1328" s="6">
        <v>83.620327751713546</v>
      </c>
    </row>
    <row r="1329" spans="1:5" x14ac:dyDescent="0.3">
      <c r="A1329" s="4">
        <v>1326</v>
      </c>
      <c r="B1329" s="5">
        <v>73951.357216241551</v>
      </c>
      <c r="C1329" s="19">
        <v>-8.1505372242637364</v>
      </c>
      <c r="D1329" s="5">
        <v>136659.86636382045</v>
      </c>
      <c r="E1329" s="6">
        <v>84.796968586002578</v>
      </c>
    </row>
    <row r="1330" spans="1:5" x14ac:dyDescent="0.3">
      <c r="A1330" s="4">
        <v>1327</v>
      </c>
      <c r="B1330" s="5">
        <v>73053.948498177531</v>
      </c>
      <c r="C1330" s="19">
        <v>-9.2651416310958989</v>
      </c>
      <c r="D1330" s="5">
        <v>127442.53592899883</v>
      </c>
      <c r="E1330" s="6">
        <v>74.44989428898306</v>
      </c>
    </row>
    <row r="1331" spans="1:5" x14ac:dyDescent="0.3">
      <c r="A1331" s="4">
        <v>1328</v>
      </c>
      <c r="B1331" s="5">
        <v>34043.635357054714</v>
      </c>
      <c r="C1331" s="19">
        <v>-57.716940754242252</v>
      </c>
      <c r="D1331" s="5">
        <v>69069.394423712467</v>
      </c>
      <c r="E1331" s="6">
        <v>102.88489669009311</v>
      </c>
    </row>
    <row r="1332" spans="1:5" x14ac:dyDescent="0.3">
      <c r="A1332" s="4">
        <v>1329</v>
      </c>
      <c r="B1332" s="5">
        <v>68955.513878617683</v>
      </c>
      <c r="C1332" s="19">
        <v>-14.35550145948017</v>
      </c>
      <c r="D1332" s="5">
        <v>123416.55968702678</v>
      </c>
      <c r="E1332" s="6">
        <v>78.97997236925363</v>
      </c>
    </row>
    <row r="1333" spans="1:5" x14ac:dyDescent="0.3">
      <c r="A1333" s="4">
        <v>1330</v>
      </c>
      <c r="B1333" s="5">
        <v>67941.492751047801</v>
      </c>
      <c r="C1333" s="19">
        <v>-15.614941438900651</v>
      </c>
      <c r="D1333" s="5">
        <v>121143.42298090254</v>
      </c>
      <c r="E1333" s="6">
        <v>78.305506805389186</v>
      </c>
    </row>
    <row r="1334" spans="1:5" x14ac:dyDescent="0.3">
      <c r="A1334" s="4">
        <v>1331</v>
      </c>
      <c r="B1334" s="5">
        <v>70808.504792450884</v>
      </c>
      <c r="C1334" s="19">
        <v>-12.054039709884034</v>
      </c>
      <c r="D1334" s="5">
        <v>130488.70556686788</v>
      </c>
      <c r="E1334" s="6">
        <v>84.283944350113842</v>
      </c>
    </row>
    <row r="1335" spans="1:5" x14ac:dyDescent="0.3">
      <c r="A1335" s="4">
        <v>1332</v>
      </c>
      <c r="B1335" s="5">
        <v>113736.10361039106</v>
      </c>
      <c r="C1335" s="19">
        <v>41.263127656642439</v>
      </c>
      <c r="D1335" s="5">
        <v>180164.98274073581</v>
      </c>
      <c r="E1335" s="6">
        <v>58.406149869438408</v>
      </c>
    </row>
    <row r="1336" spans="1:5" x14ac:dyDescent="0.3">
      <c r="A1336" s="4">
        <v>1333</v>
      </c>
      <c r="B1336" s="5">
        <v>37282.447247101671</v>
      </c>
      <c r="C1336" s="19">
        <v>-53.694254175784906</v>
      </c>
      <c r="D1336" s="5">
        <v>77957.43859186364</v>
      </c>
      <c r="E1336" s="6">
        <v>109.09957459384331</v>
      </c>
    </row>
    <row r="1337" spans="1:5" x14ac:dyDescent="0.3">
      <c r="A1337" s="4">
        <v>1334</v>
      </c>
      <c r="B1337" s="5">
        <v>55662.873787768578</v>
      </c>
      <c r="C1337" s="19">
        <v>-30.865297860452234</v>
      </c>
      <c r="D1337" s="5">
        <v>111332.85991880752</v>
      </c>
      <c r="E1337" s="6">
        <v>100.01277753516192</v>
      </c>
    </row>
    <row r="1338" spans="1:5" x14ac:dyDescent="0.3">
      <c r="A1338" s="4">
        <v>1335</v>
      </c>
      <c r="B1338" s="5">
        <v>34747.322135113085</v>
      </c>
      <c r="C1338" s="19">
        <v>-56.842943914156471</v>
      </c>
      <c r="D1338" s="5">
        <v>62613.273623717745</v>
      </c>
      <c r="E1338" s="6">
        <v>80.195968426716206</v>
      </c>
    </row>
    <row r="1339" spans="1:5" x14ac:dyDescent="0.3">
      <c r="A1339" s="4">
        <v>1336</v>
      </c>
      <c r="B1339" s="5">
        <v>59431.186669396644</v>
      </c>
      <c r="C1339" s="19">
        <v>-26.18495761008549</v>
      </c>
      <c r="D1339" s="5">
        <v>116754.10081074988</v>
      </c>
      <c r="E1339" s="6">
        <v>96.452582143830824</v>
      </c>
    </row>
    <row r="1340" spans="1:5" x14ac:dyDescent="0.3">
      <c r="A1340" s="4">
        <v>1337</v>
      </c>
      <c r="B1340" s="5">
        <v>41712.945963308855</v>
      </c>
      <c r="C1340" s="19">
        <v>-48.191462310555352</v>
      </c>
      <c r="D1340" s="5">
        <v>88926.11144173643</v>
      </c>
      <c r="E1340" s="6">
        <v>113.18588123686293</v>
      </c>
    </row>
    <row r="1341" spans="1:5" x14ac:dyDescent="0.3">
      <c r="A1341" s="4">
        <v>1338</v>
      </c>
      <c r="B1341" s="5">
        <v>55142.547205063216</v>
      </c>
      <c r="C1341" s="19">
        <v>-31.511556683663205</v>
      </c>
      <c r="D1341" s="5">
        <v>101195.11884319159</v>
      </c>
      <c r="E1341" s="6">
        <v>83.515495696759928</v>
      </c>
    </row>
    <row r="1342" spans="1:5" x14ac:dyDescent="0.3">
      <c r="A1342" s="4">
        <v>1339</v>
      </c>
      <c r="B1342" s="5">
        <v>36293.389631336315</v>
      </c>
      <c r="C1342" s="19">
        <v>-54.922688839893361</v>
      </c>
      <c r="D1342" s="5">
        <v>76202.118562151911</v>
      </c>
      <c r="E1342" s="6">
        <v>109.96142640906083</v>
      </c>
    </row>
    <row r="1343" spans="1:5" x14ac:dyDescent="0.3">
      <c r="A1343" s="4">
        <v>1340</v>
      </c>
      <c r="B1343" s="5">
        <v>41238.972302276132</v>
      </c>
      <c r="C1343" s="19">
        <v>-48.780149628469019</v>
      </c>
      <c r="D1343" s="5">
        <v>86432.595638710278</v>
      </c>
      <c r="E1343" s="6">
        <v>109.58959647483684</v>
      </c>
    </row>
    <row r="1344" spans="1:5" x14ac:dyDescent="0.3">
      <c r="A1344" s="4">
        <v>1341</v>
      </c>
      <c r="B1344" s="5">
        <v>84396.777366712093</v>
      </c>
      <c r="C1344" s="19">
        <v>4.8229397395486346</v>
      </c>
      <c r="D1344" s="5">
        <v>168460.73283083818</v>
      </c>
      <c r="E1344" s="6">
        <v>99.605646195304516</v>
      </c>
    </row>
    <row r="1345" spans="1:5" x14ac:dyDescent="0.3">
      <c r="A1345" s="4">
        <v>1342</v>
      </c>
      <c r="B1345" s="5">
        <v>46582.406899279136</v>
      </c>
      <c r="C1345" s="19">
        <v>-42.143468226167194</v>
      </c>
      <c r="D1345" s="5">
        <v>101363.61593244085</v>
      </c>
      <c r="E1345" s="6">
        <v>117.60064084196014</v>
      </c>
    </row>
    <row r="1346" spans="1:5" x14ac:dyDescent="0.3">
      <c r="A1346" s="4">
        <v>1343</v>
      </c>
      <c r="B1346" s="5">
        <v>62702.783861324977</v>
      </c>
      <c r="C1346" s="19">
        <v>-22.121550854499556</v>
      </c>
      <c r="D1346" s="5">
        <v>113400.48159797391</v>
      </c>
      <c r="E1346" s="6">
        <v>80.853982255035447</v>
      </c>
    </row>
    <row r="1347" spans="1:5" x14ac:dyDescent="0.3">
      <c r="A1347" s="4">
        <v>1344</v>
      </c>
      <c r="B1347" s="5">
        <v>64947.817567123129</v>
      </c>
      <c r="C1347" s="19">
        <v>-19.333162006029671</v>
      </c>
      <c r="D1347" s="5">
        <v>111209.03631097927</v>
      </c>
      <c r="E1347" s="6">
        <v>71.228288303984172</v>
      </c>
    </row>
    <row r="1348" spans="1:5" x14ac:dyDescent="0.3">
      <c r="A1348" s="4">
        <v>1345</v>
      </c>
      <c r="B1348" s="5">
        <v>53865.519765245503</v>
      </c>
      <c r="C1348" s="19">
        <v>-33.097657178805576</v>
      </c>
      <c r="D1348" s="5">
        <v>108136.75799906698</v>
      </c>
      <c r="E1348" s="6">
        <v>100.75320626319797</v>
      </c>
    </row>
    <row r="1349" spans="1:5" x14ac:dyDescent="0.3">
      <c r="A1349" s="4">
        <v>1346</v>
      </c>
      <c r="B1349" s="5">
        <v>46399.159674480354</v>
      </c>
      <c r="C1349" s="19">
        <v>-42.37106593074612</v>
      </c>
      <c r="D1349" s="5">
        <v>94105.129917074359</v>
      </c>
      <c r="E1349" s="6">
        <v>102.81645309372358</v>
      </c>
    </row>
    <row r="1350" spans="1:5" x14ac:dyDescent="0.3">
      <c r="A1350" s="4">
        <v>1347</v>
      </c>
      <c r="B1350" s="5">
        <v>98533.989204744998</v>
      </c>
      <c r="C1350" s="19">
        <v>22.38171568835461</v>
      </c>
      <c r="D1350" s="5">
        <v>180439.65978454423</v>
      </c>
      <c r="E1350" s="6">
        <v>83.124281520365955</v>
      </c>
    </row>
    <row r="1351" spans="1:5" x14ac:dyDescent="0.3">
      <c r="A1351" s="4">
        <v>1348</v>
      </c>
      <c r="B1351" s="5">
        <v>80274.808629875537</v>
      </c>
      <c r="C1351" s="19">
        <v>-0.29665005986166976</v>
      </c>
      <c r="D1351" s="5">
        <v>145430.30744315725</v>
      </c>
      <c r="E1351" s="6">
        <v>81.16556105875668</v>
      </c>
    </row>
    <row r="1352" spans="1:5" x14ac:dyDescent="0.3">
      <c r="A1352" s="4">
        <v>1349</v>
      </c>
      <c r="B1352" s="5">
        <v>63165.404310669903</v>
      </c>
      <c r="C1352" s="19">
        <v>-21.546964513681608</v>
      </c>
      <c r="D1352" s="5">
        <v>117022.43377367112</v>
      </c>
      <c r="E1352" s="6">
        <v>85.26349201868986</v>
      </c>
    </row>
    <row r="1353" spans="1:5" x14ac:dyDescent="0.3">
      <c r="A1353" s="4">
        <v>1350</v>
      </c>
      <c r="B1353" s="5">
        <v>64368.95849570616</v>
      </c>
      <c r="C1353" s="19">
        <v>-20.05211966595526</v>
      </c>
      <c r="D1353" s="5">
        <v>109634.10968842228</v>
      </c>
      <c r="E1353" s="6">
        <v>70.321397534707046</v>
      </c>
    </row>
    <row r="1354" spans="1:5" x14ac:dyDescent="0.3">
      <c r="A1354" s="4">
        <v>1351</v>
      </c>
      <c r="B1354" s="5">
        <v>31902.748126164464</v>
      </c>
      <c r="C1354" s="19">
        <v>-60.375977037318293</v>
      </c>
      <c r="D1354" s="5">
        <v>62065.931734419064</v>
      </c>
      <c r="E1354" s="6">
        <v>94.547289434030944</v>
      </c>
    </row>
    <row r="1355" spans="1:5" x14ac:dyDescent="0.3">
      <c r="A1355" s="4">
        <v>1352</v>
      </c>
      <c r="B1355" s="5">
        <v>90309.500092641829</v>
      </c>
      <c r="C1355" s="19">
        <v>12.166691448263174</v>
      </c>
      <c r="D1355" s="5">
        <v>160317.4300457139</v>
      </c>
      <c r="E1355" s="6">
        <v>77.520006069412545</v>
      </c>
    </row>
    <row r="1356" spans="1:5" x14ac:dyDescent="0.3">
      <c r="A1356" s="4">
        <v>1353</v>
      </c>
      <c r="B1356" s="5">
        <v>36506.288856886189</v>
      </c>
      <c r="C1356" s="19">
        <v>-54.658262597722498</v>
      </c>
      <c r="D1356" s="5">
        <v>69691.722642819761</v>
      </c>
      <c r="E1356" s="6">
        <v>90.903334261197571</v>
      </c>
    </row>
    <row r="1357" spans="1:5" x14ac:dyDescent="0.3">
      <c r="A1357" s="4">
        <v>1354</v>
      </c>
      <c r="B1357" s="5">
        <v>75953.588809097419</v>
      </c>
      <c r="C1357" s="19">
        <v>-5.6637147631334583</v>
      </c>
      <c r="D1357" s="5">
        <v>128972.04864541568</v>
      </c>
      <c r="E1357" s="6">
        <v>69.80375867370195</v>
      </c>
    </row>
    <row r="1358" spans="1:5" x14ac:dyDescent="0.3">
      <c r="A1358" s="4">
        <v>1355</v>
      </c>
      <c r="B1358" s="5">
        <v>77553.45291663213</v>
      </c>
      <c r="C1358" s="19">
        <v>-3.6766429320978427</v>
      </c>
      <c r="D1358" s="5">
        <v>145451.73683459306</v>
      </c>
      <c r="E1358" s="6">
        <v>87.55030416369695</v>
      </c>
    </row>
    <row r="1359" spans="1:5" x14ac:dyDescent="0.3">
      <c r="A1359" s="4">
        <v>1356</v>
      </c>
      <c r="B1359" s="5">
        <v>89052.530454162639</v>
      </c>
      <c r="C1359" s="19">
        <v>10.605503251512015</v>
      </c>
      <c r="D1359" s="5">
        <v>162770.48737442796</v>
      </c>
      <c r="E1359" s="6">
        <v>82.7803056738625</v>
      </c>
    </row>
    <row r="1360" spans="1:5" x14ac:dyDescent="0.3">
      <c r="A1360" s="4">
        <v>1357</v>
      </c>
      <c r="B1360" s="5">
        <v>111381.22371214375</v>
      </c>
      <c r="C1360" s="19">
        <v>38.338307048916093</v>
      </c>
      <c r="D1360" s="5">
        <v>182486.64055414608</v>
      </c>
      <c r="E1360" s="6">
        <v>63.839680039580863</v>
      </c>
    </row>
    <row r="1361" spans="1:5" x14ac:dyDescent="0.3">
      <c r="A1361" s="4">
        <v>1358</v>
      </c>
      <c r="B1361" s="5">
        <v>117346.29999964815</v>
      </c>
      <c r="C1361" s="19">
        <v>45.747083210000973</v>
      </c>
      <c r="D1361" s="5">
        <v>178618.75651992549</v>
      </c>
      <c r="E1361" s="6">
        <v>52.215073266443902</v>
      </c>
    </row>
    <row r="1362" spans="1:5" x14ac:dyDescent="0.3">
      <c r="A1362" s="4">
        <v>1359</v>
      </c>
      <c r="B1362" s="5">
        <v>51785.079005934131</v>
      </c>
      <c r="C1362" s="19">
        <v>-35.681617409863058</v>
      </c>
      <c r="D1362" s="5">
        <v>99478.667293369857</v>
      </c>
      <c r="E1362" s="6">
        <v>92.099093412545429</v>
      </c>
    </row>
    <row r="1363" spans="1:5" x14ac:dyDescent="0.3">
      <c r="A1363" s="4">
        <v>1360</v>
      </c>
      <c r="B1363" s="5">
        <v>81697.481994592439</v>
      </c>
      <c r="C1363" s="19">
        <v>1.4703463709475515</v>
      </c>
      <c r="D1363" s="5">
        <v>168507.63377602072</v>
      </c>
      <c r="E1363" s="6">
        <v>106.25805063021924</v>
      </c>
    </row>
    <row r="1364" spans="1:5" x14ac:dyDescent="0.3">
      <c r="A1364" s="4">
        <v>1361</v>
      </c>
      <c r="B1364" s="5">
        <v>58904.706200090404</v>
      </c>
      <c r="C1364" s="19">
        <v>-26.838859716659343</v>
      </c>
      <c r="D1364" s="5">
        <v>103350.27764203939</v>
      </c>
      <c r="E1364" s="6">
        <v>75.453345427059915</v>
      </c>
    </row>
    <row r="1365" spans="1:5" x14ac:dyDescent="0.3">
      <c r="A1365" s="4">
        <v>1362</v>
      </c>
      <c r="B1365" s="5">
        <v>61792.262208245869</v>
      </c>
      <c r="C1365" s="19">
        <v>-23.252441859467126</v>
      </c>
      <c r="D1365" s="5">
        <v>127975.66721984922</v>
      </c>
      <c r="E1365" s="6">
        <v>107.10629882518123</v>
      </c>
    </row>
    <row r="1366" spans="1:5" x14ac:dyDescent="0.3">
      <c r="A1366" s="4">
        <v>1363</v>
      </c>
      <c r="B1366" s="5">
        <v>84284.922157032575</v>
      </c>
      <c r="C1366" s="19">
        <v>4.6840127298970167</v>
      </c>
      <c r="D1366" s="5">
        <v>127982.07635069513</v>
      </c>
      <c r="E1366" s="6">
        <v>51.844568489070554</v>
      </c>
    </row>
    <row r="1367" spans="1:5" x14ac:dyDescent="0.3">
      <c r="A1367" s="4">
        <v>1364</v>
      </c>
      <c r="B1367" s="5">
        <v>76180.425183333777</v>
      </c>
      <c r="C1367" s="19">
        <v>-5.3819782285262274</v>
      </c>
      <c r="D1367" s="5">
        <v>144857.31025905922</v>
      </c>
      <c r="E1367" s="6">
        <v>90.150304242132378</v>
      </c>
    </row>
    <row r="1368" spans="1:5" x14ac:dyDescent="0.3">
      <c r="A1368" s="4">
        <v>1365</v>
      </c>
      <c r="B1368" s="5">
        <v>40638.960740191847</v>
      </c>
      <c r="C1368" s="19">
        <v>-49.525379218718754</v>
      </c>
      <c r="D1368" s="5">
        <v>82788.193768914774</v>
      </c>
      <c r="E1368" s="6">
        <v>103.71631621730285</v>
      </c>
    </row>
    <row r="1369" spans="1:5" x14ac:dyDescent="0.3">
      <c r="A1369" s="4">
        <v>1366</v>
      </c>
      <c r="B1369" s="5">
        <v>56194.640225641924</v>
      </c>
      <c r="C1369" s="19">
        <v>-30.20483044674388</v>
      </c>
      <c r="D1369" s="5">
        <v>93831.901481056397</v>
      </c>
      <c r="E1369" s="6">
        <v>66.976603292212872</v>
      </c>
    </row>
    <row r="1370" spans="1:5" x14ac:dyDescent="0.3">
      <c r="A1370" s="4">
        <v>1367</v>
      </c>
      <c r="B1370" s="5">
        <v>34498.069292232947</v>
      </c>
      <c r="C1370" s="19">
        <v>-57.152522271818285</v>
      </c>
      <c r="D1370" s="5">
        <v>78914.278090104242</v>
      </c>
      <c r="E1370" s="6">
        <v>128.74983936527534</v>
      </c>
    </row>
    <row r="1371" spans="1:5" x14ac:dyDescent="0.3">
      <c r="A1371" s="4">
        <v>1368</v>
      </c>
      <c r="B1371" s="5">
        <v>41542.084946065217</v>
      </c>
      <c r="C1371" s="19">
        <v>-48.403676030950699</v>
      </c>
      <c r="D1371" s="5">
        <v>81452.096450257712</v>
      </c>
      <c r="E1371" s="6">
        <v>96.071277009828293</v>
      </c>
    </row>
    <row r="1372" spans="1:5" x14ac:dyDescent="0.3">
      <c r="A1372" s="4">
        <v>1369</v>
      </c>
      <c r="B1372" s="5">
        <v>45474.48573075168</v>
      </c>
      <c r="C1372" s="19">
        <v>-43.519534439929167</v>
      </c>
      <c r="D1372" s="5">
        <v>82100.957153860232</v>
      </c>
      <c r="E1372" s="6">
        <v>80.542904080254957</v>
      </c>
    </row>
    <row r="1373" spans="1:5" x14ac:dyDescent="0.3">
      <c r="A1373" s="4">
        <v>1370</v>
      </c>
      <c r="B1373" s="5">
        <v>55336.611931521213</v>
      </c>
      <c r="C1373" s="19">
        <v>-31.270523367442031</v>
      </c>
      <c r="D1373" s="5">
        <v>102676.1306819623</v>
      </c>
      <c r="E1373" s="6">
        <v>85.548278252061237</v>
      </c>
    </row>
    <row r="1374" spans="1:5" x14ac:dyDescent="0.3">
      <c r="A1374" s="4">
        <v>1371</v>
      </c>
      <c r="B1374" s="5">
        <v>142364.45021912322</v>
      </c>
      <c r="C1374" s="19">
        <v>76.820260820279856</v>
      </c>
      <c r="D1374" s="5">
        <v>281917.28903002397</v>
      </c>
      <c r="E1374" s="6">
        <v>98.02506074803442</v>
      </c>
    </row>
    <row r="1375" spans="1:5" x14ac:dyDescent="0.3">
      <c r="A1375" s="4">
        <v>1372</v>
      </c>
      <c r="B1375" s="5">
        <v>111044.75859341733</v>
      </c>
      <c r="C1375" s="19">
        <v>37.920408830937085</v>
      </c>
      <c r="D1375" s="5">
        <v>220812.65500530653</v>
      </c>
      <c r="E1375" s="6">
        <v>98.850137370100228</v>
      </c>
    </row>
    <row r="1376" spans="1:5" x14ac:dyDescent="0.3">
      <c r="A1376" s="4">
        <v>1373</v>
      </c>
      <c r="B1376" s="5">
        <v>54256.705915655344</v>
      </c>
      <c r="C1376" s="19">
        <v>-32.611794050487475</v>
      </c>
      <c r="D1376" s="5">
        <v>109737.01725853543</v>
      </c>
      <c r="E1376" s="6">
        <v>102.25521510488842</v>
      </c>
    </row>
    <row r="1377" spans="1:5" x14ac:dyDescent="0.3">
      <c r="A1377" s="4">
        <v>1374</v>
      </c>
      <c r="B1377" s="5">
        <v>91584.949973216251</v>
      </c>
      <c r="C1377" s="19">
        <v>13.750832574782063</v>
      </c>
      <c r="D1377" s="5">
        <v>144325.60362755531</v>
      </c>
      <c r="E1377" s="6">
        <v>57.586594380149691</v>
      </c>
    </row>
    <row r="1378" spans="1:5" x14ac:dyDescent="0.3">
      <c r="A1378" s="4">
        <v>1375</v>
      </c>
      <c r="B1378" s="5">
        <v>181494.71749420144</v>
      </c>
      <c r="C1378" s="19">
        <v>125.42104602260413</v>
      </c>
      <c r="D1378" s="5">
        <v>261241.7579954477</v>
      </c>
      <c r="E1378" s="6">
        <v>43.939042194874951</v>
      </c>
    </row>
    <row r="1379" spans="1:5" x14ac:dyDescent="0.3">
      <c r="A1379" s="4">
        <v>1376</v>
      </c>
      <c r="B1379" s="5">
        <v>53577.269707529071</v>
      </c>
      <c r="C1379" s="19">
        <v>-33.455671067163451</v>
      </c>
      <c r="D1379" s="5">
        <v>102678.71866020533</v>
      </c>
      <c r="E1379" s="6">
        <v>91.646045460536342</v>
      </c>
    </row>
    <row r="1380" spans="1:5" x14ac:dyDescent="0.3">
      <c r="A1380" s="4">
        <v>1377</v>
      </c>
      <c r="B1380" s="5">
        <v>40250.225244568741</v>
      </c>
      <c r="C1380" s="19">
        <v>-50.008198571586561</v>
      </c>
      <c r="D1380" s="5">
        <v>86170.451356351317</v>
      </c>
      <c r="E1380" s="6">
        <v>114.08687984417909</v>
      </c>
    </row>
    <row r="1381" spans="1:5" x14ac:dyDescent="0.3">
      <c r="A1381" s="4">
        <v>1378</v>
      </c>
      <c r="B1381" s="5">
        <v>64296.709598462883</v>
      </c>
      <c r="C1381" s="19">
        <v>-20.141854630230899</v>
      </c>
      <c r="D1381" s="5">
        <v>123664.98154303234</v>
      </c>
      <c r="E1381" s="6">
        <v>92.33485246030186</v>
      </c>
    </row>
    <row r="1382" spans="1:5" x14ac:dyDescent="0.3">
      <c r="A1382" s="4">
        <v>1379</v>
      </c>
      <c r="B1382" s="5">
        <v>83880.811612855119</v>
      </c>
      <c r="C1382" s="19">
        <v>4.1820971764586297</v>
      </c>
      <c r="D1382" s="5">
        <v>156976.81161484655</v>
      </c>
      <c r="E1382" s="6">
        <v>87.142695208243708</v>
      </c>
    </row>
    <row r="1383" spans="1:5" x14ac:dyDescent="0.3">
      <c r="A1383" s="4">
        <v>1380</v>
      </c>
      <c r="B1383" s="5">
        <v>34520.658118889325</v>
      </c>
      <c r="C1383" s="19">
        <v>-57.124466375737079</v>
      </c>
      <c r="D1383" s="5">
        <v>67490.906435479774</v>
      </c>
      <c r="E1383" s="6">
        <v>95.50874784322113</v>
      </c>
    </row>
    <row r="1384" spans="1:5" x14ac:dyDescent="0.3">
      <c r="A1384" s="4">
        <v>1381</v>
      </c>
      <c r="B1384" s="5">
        <v>83308.266767026857</v>
      </c>
      <c r="C1384" s="19">
        <v>3.4709819449887056</v>
      </c>
      <c r="D1384" s="5">
        <v>134912.27528724313</v>
      </c>
      <c r="E1384" s="6">
        <v>61.943442737235024</v>
      </c>
    </row>
    <row r="1385" spans="1:5" x14ac:dyDescent="0.3">
      <c r="A1385" s="4">
        <v>1382</v>
      </c>
      <c r="B1385" s="5">
        <v>61622.950226542547</v>
      </c>
      <c r="C1385" s="19">
        <v>-23.462731638402108</v>
      </c>
      <c r="D1385" s="5">
        <v>120045.33607802274</v>
      </c>
      <c r="E1385" s="6">
        <v>94.806213653685489</v>
      </c>
    </row>
    <row r="1386" spans="1:5" x14ac:dyDescent="0.3">
      <c r="A1386" s="4">
        <v>1383</v>
      </c>
      <c r="B1386" s="5">
        <v>63619.865614719696</v>
      </c>
      <c r="C1386" s="19">
        <v>-20.982512038424446</v>
      </c>
      <c r="D1386" s="5">
        <v>116304.68614935815</v>
      </c>
      <c r="E1386" s="6">
        <v>82.811901637291101</v>
      </c>
    </row>
    <row r="1387" spans="1:5" x14ac:dyDescent="0.3">
      <c r="A1387" s="4">
        <v>1384</v>
      </c>
      <c r="B1387" s="5">
        <v>100886.39683433143</v>
      </c>
      <c r="C1387" s="19">
        <v>25.303465675650362</v>
      </c>
      <c r="D1387" s="5">
        <v>182809.56906603873</v>
      </c>
      <c r="E1387" s="6">
        <v>81.203387971359291</v>
      </c>
    </row>
    <row r="1388" spans="1:5" x14ac:dyDescent="0.3">
      <c r="A1388" s="4">
        <v>1385</v>
      </c>
      <c r="B1388" s="5">
        <v>55074.69677084226</v>
      </c>
      <c r="C1388" s="19">
        <v>-31.595828645218582</v>
      </c>
      <c r="D1388" s="5">
        <v>108617.8871951921</v>
      </c>
      <c r="E1388" s="6">
        <v>97.219219648426218</v>
      </c>
    </row>
    <row r="1389" spans="1:5" x14ac:dyDescent="0.3">
      <c r="A1389" s="4">
        <v>1386</v>
      </c>
      <c r="B1389" s="5">
        <v>100687.16806085667</v>
      </c>
      <c r="C1389" s="19">
        <v>25.056018481954943</v>
      </c>
      <c r="D1389" s="5">
        <v>198781.0015013892</v>
      </c>
      <c r="E1389" s="6">
        <v>97.424364325395771</v>
      </c>
    </row>
    <row r="1390" spans="1:5" x14ac:dyDescent="0.3">
      <c r="A1390" s="4">
        <v>1387</v>
      </c>
      <c r="B1390" s="5">
        <v>56985.989004198425</v>
      </c>
      <c r="C1390" s="19">
        <v>-29.221955176907912</v>
      </c>
      <c r="D1390" s="5">
        <v>116070.64891051241</v>
      </c>
      <c r="E1390" s="6">
        <v>103.68278402952862</v>
      </c>
    </row>
    <row r="1391" spans="1:5" x14ac:dyDescent="0.3">
      <c r="A1391" s="4">
        <v>1388</v>
      </c>
      <c r="B1391" s="5">
        <v>75451.204547558737</v>
      </c>
      <c r="C1391" s="19">
        <v>-6.2876887680240499</v>
      </c>
      <c r="D1391" s="5">
        <v>141197.29814788888</v>
      </c>
      <c r="E1391" s="6">
        <v>87.137235243061994</v>
      </c>
    </row>
    <row r="1392" spans="1:5" x14ac:dyDescent="0.3">
      <c r="A1392" s="4">
        <v>1389</v>
      </c>
      <c r="B1392" s="5">
        <v>46204.377674391064</v>
      </c>
      <c r="C1392" s="19">
        <v>-42.612990119023976</v>
      </c>
      <c r="D1392" s="5">
        <v>83408.372625656193</v>
      </c>
      <c r="E1392" s="6">
        <v>80.520497891881732</v>
      </c>
    </row>
    <row r="1393" spans="1:5" x14ac:dyDescent="0.3">
      <c r="A1393" s="4">
        <v>1390</v>
      </c>
      <c r="B1393" s="5">
        <v>83701.937809660667</v>
      </c>
      <c r="C1393" s="19">
        <v>3.9599313725231893</v>
      </c>
      <c r="D1393" s="5">
        <v>161755.84479771898</v>
      </c>
      <c r="E1393" s="6">
        <v>93.252210200382635</v>
      </c>
    </row>
    <row r="1394" spans="1:5" x14ac:dyDescent="0.3">
      <c r="A1394" s="4">
        <v>1391</v>
      </c>
      <c r="B1394" s="5">
        <v>35990.340664991534</v>
      </c>
      <c r="C1394" s="19">
        <v>-55.299083348409525</v>
      </c>
      <c r="D1394" s="5">
        <v>60412.182384849883</v>
      </c>
      <c r="E1394" s="6">
        <v>67.856656171120719</v>
      </c>
    </row>
    <row r="1395" spans="1:5" x14ac:dyDescent="0.3">
      <c r="A1395" s="4">
        <v>1392</v>
      </c>
      <c r="B1395" s="5">
        <v>87706.829351031483</v>
      </c>
      <c r="C1395" s="19">
        <v>8.9341083233853098</v>
      </c>
      <c r="D1395" s="5">
        <v>136212.66603926785</v>
      </c>
      <c r="E1395" s="6">
        <v>55.304515106913854</v>
      </c>
    </row>
    <row r="1396" spans="1:5" x14ac:dyDescent="0.3">
      <c r="A1396" s="4">
        <v>1393</v>
      </c>
      <c r="B1396" s="5">
        <v>50154.094294180024</v>
      </c>
      <c r="C1396" s="19">
        <v>-37.707341821275932</v>
      </c>
      <c r="D1396" s="5">
        <v>95765.512073455538</v>
      </c>
      <c r="E1396" s="6">
        <v>90.942560963698526</v>
      </c>
    </row>
    <row r="1397" spans="1:5" x14ac:dyDescent="0.3">
      <c r="A1397" s="4">
        <v>1394</v>
      </c>
      <c r="B1397" s="5">
        <v>60747.024988032703</v>
      </c>
      <c r="C1397" s="19">
        <v>-24.550653018311124</v>
      </c>
      <c r="D1397" s="5">
        <v>129291.88551520629</v>
      </c>
      <c r="E1397" s="6">
        <v>112.83657189907996</v>
      </c>
    </row>
    <row r="1398" spans="1:5" x14ac:dyDescent="0.3">
      <c r="A1398" s="4">
        <v>1395</v>
      </c>
      <c r="B1398" s="5">
        <v>42645.05455776969</v>
      </c>
      <c r="C1398" s="19">
        <v>-47.033759776448633</v>
      </c>
      <c r="D1398" s="5">
        <v>92980.739543995936</v>
      </c>
      <c r="E1398" s="6">
        <v>118.03404992257272</v>
      </c>
    </row>
    <row r="1399" spans="1:5" x14ac:dyDescent="0.3">
      <c r="A1399" s="4">
        <v>1396</v>
      </c>
      <c r="B1399" s="5">
        <v>91925.668870501511</v>
      </c>
      <c r="C1399" s="19">
        <v>14.174014093705143</v>
      </c>
      <c r="D1399" s="5">
        <v>143310.87415972471</v>
      </c>
      <c r="E1399" s="6">
        <v>55.898647157641143</v>
      </c>
    </row>
    <row r="1400" spans="1:5" x14ac:dyDescent="0.3">
      <c r="A1400" s="4">
        <v>1397</v>
      </c>
      <c r="B1400" s="5">
        <v>64349.654328327073</v>
      </c>
      <c r="C1400" s="19">
        <v>-20.076095931839298</v>
      </c>
      <c r="D1400" s="5">
        <v>116270.54480915816</v>
      </c>
      <c r="E1400" s="6">
        <v>80.68557791455801</v>
      </c>
    </row>
    <row r="1401" spans="1:5" x14ac:dyDescent="0.3">
      <c r="A1401" s="4">
        <v>1398</v>
      </c>
      <c r="B1401" s="5">
        <v>62528.823153819598</v>
      </c>
      <c r="C1401" s="19">
        <v>-22.337614468879668</v>
      </c>
      <c r="D1401" s="5">
        <v>130846.61981977035</v>
      </c>
      <c r="E1401" s="6">
        <v>109.25808806266895</v>
      </c>
    </row>
    <row r="1402" spans="1:5" x14ac:dyDescent="0.3">
      <c r="A1402" s="4">
        <v>1399</v>
      </c>
      <c r="B1402" s="5">
        <v>72571.445035865283</v>
      </c>
      <c r="C1402" s="19">
        <v>-9.8644231787113572</v>
      </c>
      <c r="D1402" s="5">
        <v>119544.62584648018</v>
      </c>
      <c r="E1402" s="6">
        <v>64.726809266923709</v>
      </c>
    </row>
    <row r="1403" spans="1:5" x14ac:dyDescent="0.3">
      <c r="A1403" s="4">
        <v>1400</v>
      </c>
      <c r="B1403" s="5">
        <v>73894.015081140387</v>
      </c>
      <c r="C1403" s="19">
        <v>-8.2217576115793438</v>
      </c>
      <c r="D1403" s="5">
        <v>127867.22432483151</v>
      </c>
      <c r="E1403" s="6">
        <v>73.04138120580545</v>
      </c>
    </row>
    <row r="1404" spans="1:5" x14ac:dyDescent="0.3">
      <c r="A1404" s="4">
        <v>1401</v>
      </c>
      <c r="B1404" s="5">
        <v>151362.38710191389</v>
      </c>
      <c r="C1404" s="19">
        <v>87.995926824051267</v>
      </c>
      <c r="D1404" s="5">
        <v>215103.71443103696</v>
      </c>
      <c r="E1404" s="6">
        <v>42.111734988828744</v>
      </c>
    </row>
    <row r="1405" spans="1:5" x14ac:dyDescent="0.3">
      <c r="A1405" s="4">
        <v>1402</v>
      </c>
      <c r="B1405" s="5">
        <v>43648.022371260391</v>
      </c>
      <c r="C1405" s="19">
        <v>-45.788048293681641</v>
      </c>
      <c r="D1405" s="5">
        <v>87282.022053075882</v>
      </c>
      <c r="E1405" s="6">
        <v>99.967873253625044</v>
      </c>
    </row>
    <row r="1406" spans="1:5" x14ac:dyDescent="0.3">
      <c r="A1406" s="4">
        <v>1403</v>
      </c>
      <c r="B1406" s="5">
        <v>69798.612181499659</v>
      </c>
      <c r="C1406" s="19">
        <v>-13.308351966869679</v>
      </c>
      <c r="D1406" s="5">
        <v>143138.91299422068</v>
      </c>
      <c r="E1406" s="6">
        <v>105.07415336856812</v>
      </c>
    </row>
    <row r="1407" spans="1:5" x14ac:dyDescent="0.3">
      <c r="A1407" s="4">
        <v>1404</v>
      </c>
      <c r="B1407" s="5">
        <v>170957.07246055393</v>
      </c>
      <c r="C1407" s="19">
        <v>112.33302341293442</v>
      </c>
      <c r="D1407" s="5">
        <v>297252.92900080001</v>
      </c>
      <c r="E1407" s="6">
        <v>73.875771690806872</v>
      </c>
    </row>
    <row r="1408" spans="1:5" x14ac:dyDescent="0.3">
      <c r="A1408" s="4">
        <v>1405</v>
      </c>
      <c r="B1408" s="5">
        <v>68397.930295249345</v>
      </c>
      <c r="C1408" s="19">
        <v>-15.048034423211956</v>
      </c>
      <c r="D1408" s="5">
        <v>113636.03151718967</v>
      </c>
      <c r="E1408" s="6">
        <v>66.139576192822872</v>
      </c>
    </row>
    <row r="1409" spans="1:5" x14ac:dyDescent="0.3">
      <c r="A1409" s="4">
        <v>1406</v>
      </c>
      <c r="B1409" s="5">
        <v>93631.795373138419</v>
      </c>
      <c r="C1409" s="19">
        <v>16.29306651672449</v>
      </c>
      <c r="D1409" s="5">
        <v>153803.36210063961</v>
      </c>
      <c r="E1409" s="6">
        <v>64.264031772228009</v>
      </c>
    </row>
    <row r="1410" spans="1:5" x14ac:dyDescent="0.3">
      <c r="A1410" s="4">
        <v>1407</v>
      </c>
      <c r="B1410" s="5">
        <v>81284.700140622022</v>
      </c>
      <c r="C1410" s="19">
        <v>0.95766083064176255</v>
      </c>
      <c r="D1410" s="5">
        <v>144523.70786010413</v>
      </c>
      <c r="E1410" s="6">
        <v>77.799398423170686</v>
      </c>
    </row>
    <row r="1411" spans="1:5" x14ac:dyDescent="0.3">
      <c r="A1411" s="4">
        <v>1408</v>
      </c>
      <c r="B1411" s="5">
        <v>66457.628841749582</v>
      </c>
      <c r="C1411" s="19">
        <v>-17.457938079284315</v>
      </c>
      <c r="D1411" s="5">
        <v>140056.48060219444</v>
      </c>
      <c r="E1411" s="6">
        <v>110.74552770412576</v>
      </c>
    </row>
    <row r="1412" spans="1:5" x14ac:dyDescent="0.3">
      <c r="A1412" s="4">
        <v>1409</v>
      </c>
      <c r="B1412" s="5">
        <v>70967.784062550694</v>
      </c>
      <c r="C1412" s="19">
        <v>-11.856210813421725</v>
      </c>
      <c r="D1412" s="5">
        <v>153615.46926244721</v>
      </c>
      <c r="E1412" s="6">
        <v>116.45803274208366</v>
      </c>
    </row>
    <row r="1413" spans="1:5" x14ac:dyDescent="0.3">
      <c r="A1413" s="4">
        <v>1410</v>
      </c>
      <c r="B1413" s="5">
        <v>66787.720602629153</v>
      </c>
      <c r="C1413" s="19">
        <v>-17.047955733526543</v>
      </c>
      <c r="D1413" s="5">
        <v>125444.04021229506</v>
      </c>
      <c r="E1413" s="6">
        <v>87.825005974761268</v>
      </c>
    </row>
    <row r="1414" spans="1:5" x14ac:dyDescent="0.3">
      <c r="A1414" s="4">
        <v>1411</v>
      </c>
      <c r="B1414" s="5">
        <v>57130.171784782688</v>
      </c>
      <c r="C1414" s="19">
        <v>-29.042876503619304</v>
      </c>
      <c r="D1414" s="5">
        <v>109256.48139728645</v>
      </c>
      <c r="E1414" s="6">
        <v>91.24129682100525</v>
      </c>
    </row>
    <row r="1415" spans="1:5" x14ac:dyDescent="0.3">
      <c r="A1415" s="4">
        <v>1412</v>
      </c>
      <c r="B1415" s="5">
        <v>101542.27424265229</v>
      </c>
      <c r="C1415" s="19">
        <v>26.11808206497313</v>
      </c>
      <c r="D1415" s="5">
        <v>182411.44131871732</v>
      </c>
      <c r="E1415" s="6">
        <v>79.640886201558374</v>
      </c>
    </row>
    <row r="1416" spans="1:5" x14ac:dyDescent="0.3">
      <c r="A1416" s="4">
        <v>1413</v>
      </c>
      <c r="B1416" s="5">
        <v>87303.858329971044</v>
      </c>
      <c r="C1416" s="19">
        <v>8.4336080865828631</v>
      </c>
      <c r="D1416" s="5">
        <v>161740.96622902117</v>
      </c>
      <c r="E1416" s="6">
        <v>85.262105619329972</v>
      </c>
    </row>
    <row r="1417" spans="1:5" x14ac:dyDescent="0.3">
      <c r="A1417" s="4">
        <v>1414</v>
      </c>
      <c r="B1417" s="5">
        <v>110875.38188685339</v>
      </c>
      <c r="C1417" s="19">
        <v>37.710038662082304</v>
      </c>
      <c r="D1417" s="5">
        <v>223456.30727017205</v>
      </c>
      <c r="E1417" s="6">
        <v>101.53825264674691</v>
      </c>
    </row>
    <row r="1418" spans="1:5" x14ac:dyDescent="0.3">
      <c r="A1418" s="4">
        <v>1415</v>
      </c>
      <c r="B1418" s="5">
        <v>89141.64629882056</v>
      </c>
      <c r="C1418" s="19">
        <v>10.716187392611703</v>
      </c>
      <c r="D1418" s="5">
        <v>150103.48274610253</v>
      </c>
      <c r="E1418" s="6">
        <v>68.387604423330643</v>
      </c>
    </row>
    <row r="1419" spans="1:5" x14ac:dyDescent="0.3">
      <c r="A1419" s="4">
        <v>1416</v>
      </c>
      <c r="B1419" s="5">
        <v>81581.679051311599</v>
      </c>
      <c r="C1419" s="19">
        <v>1.3265161759574564</v>
      </c>
      <c r="D1419" s="5">
        <v>156449.71760437993</v>
      </c>
      <c r="E1419" s="6">
        <v>91.77065172436491</v>
      </c>
    </row>
    <row r="1420" spans="1:5" x14ac:dyDescent="0.3">
      <c r="A1420" s="4">
        <v>1417</v>
      </c>
      <c r="B1420" s="5">
        <v>52625.838930124708</v>
      </c>
      <c r="C1420" s="19">
        <v>-34.63737224294254</v>
      </c>
      <c r="D1420" s="5">
        <v>90868.956947848128</v>
      </c>
      <c r="E1420" s="6">
        <v>72.669849631284151</v>
      </c>
    </row>
    <row r="1421" spans="1:5" x14ac:dyDescent="0.3">
      <c r="A1421" s="4">
        <v>1418</v>
      </c>
      <c r="B1421" s="5">
        <v>57777.956291873321</v>
      </c>
      <c r="C1421" s="19">
        <v>-28.238311703047223</v>
      </c>
      <c r="D1421" s="5">
        <v>110430.76863260145</v>
      </c>
      <c r="E1421" s="6">
        <v>91.12958595272076</v>
      </c>
    </row>
    <row r="1422" spans="1:5" x14ac:dyDescent="0.3">
      <c r="A1422" s="4">
        <v>1419</v>
      </c>
      <c r="B1422" s="5">
        <v>48418.329379395873</v>
      </c>
      <c r="C1422" s="19">
        <v>-39.863205904496311</v>
      </c>
      <c r="D1422" s="5">
        <v>101141.18775335742</v>
      </c>
      <c r="E1422" s="6">
        <v>108.89028814033685</v>
      </c>
    </row>
    <row r="1423" spans="1:5" x14ac:dyDescent="0.3">
      <c r="A1423" s="4">
        <v>1420</v>
      </c>
      <c r="B1423" s="5">
        <v>39913.898583016089</v>
      </c>
      <c r="C1423" s="19">
        <v>-50.425924822241278</v>
      </c>
      <c r="D1423" s="5">
        <v>85487.629722272264</v>
      </c>
      <c r="E1423" s="6">
        <v>114.18010456800735</v>
      </c>
    </row>
    <row r="1424" spans="1:5" x14ac:dyDescent="0.3">
      <c r="A1424" s="4">
        <v>1421</v>
      </c>
      <c r="B1424" s="5">
        <v>48386.857223498198</v>
      </c>
      <c r="C1424" s="19">
        <v>-39.902295120981456</v>
      </c>
      <c r="D1424" s="5">
        <v>85731.006957908816</v>
      </c>
      <c r="E1424" s="6">
        <v>77.178291538792294</v>
      </c>
    </row>
    <row r="1425" spans="1:5" x14ac:dyDescent="0.3">
      <c r="A1425" s="4">
        <v>1422</v>
      </c>
      <c r="B1425" s="5">
        <v>48085.057574378239</v>
      </c>
      <c r="C1425" s="19">
        <v>-40.277137945792866</v>
      </c>
      <c r="D1425" s="5">
        <v>101183.83022799139</v>
      </c>
      <c r="E1425" s="6">
        <v>110.42676318205436</v>
      </c>
    </row>
    <row r="1426" spans="1:5" x14ac:dyDescent="0.3">
      <c r="A1426" s="4">
        <v>1423</v>
      </c>
      <c r="B1426" s="5">
        <v>62968.111700914626</v>
      </c>
      <c r="C1426" s="19">
        <v>-21.792006942891621</v>
      </c>
      <c r="D1426" s="5">
        <v>103059.28724993485</v>
      </c>
      <c r="E1426" s="6">
        <v>63.669013515039055</v>
      </c>
    </row>
    <row r="1427" spans="1:5" x14ac:dyDescent="0.3">
      <c r="A1427" s="4">
        <v>1424</v>
      </c>
      <c r="B1427" s="5">
        <v>91896.603011131563</v>
      </c>
      <c r="C1427" s="19">
        <v>14.137913558586654</v>
      </c>
      <c r="D1427" s="5">
        <v>196724.92916357331</v>
      </c>
      <c r="E1427" s="6">
        <v>114.07203609010853</v>
      </c>
    </row>
    <row r="1428" spans="1:5" x14ac:dyDescent="0.3">
      <c r="A1428" s="4">
        <v>1425</v>
      </c>
      <c r="B1428" s="5">
        <v>72547.622610656879</v>
      </c>
      <c r="C1428" s="19">
        <v>-9.8940112355067029</v>
      </c>
      <c r="D1428" s="5">
        <v>154240.87978793518</v>
      </c>
      <c r="E1428" s="6">
        <v>112.60638769061188</v>
      </c>
    </row>
    <row r="1429" spans="1:5" x14ac:dyDescent="0.3">
      <c r="A1429" s="4">
        <v>1426</v>
      </c>
      <c r="B1429" s="5">
        <v>40365.832116522375</v>
      </c>
      <c r="C1429" s="19">
        <v>-49.864611902161755</v>
      </c>
      <c r="D1429" s="5">
        <v>86638.048574966029</v>
      </c>
      <c r="E1429" s="6">
        <v>114.63213820260552</v>
      </c>
    </row>
    <row r="1430" spans="1:5" x14ac:dyDescent="0.3">
      <c r="A1430" s="4">
        <v>1427</v>
      </c>
      <c r="B1430" s="5">
        <v>86918.430720568285</v>
      </c>
      <c r="C1430" s="19">
        <v>7.9548972123650641</v>
      </c>
      <c r="D1430" s="5">
        <v>152594.01417349136</v>
      </c>
      <c r="E1430" s="6">
        <v>75.560019789199529</v>
      </c>
    </row>
    <row r="1431" spans="1:5" x14ac:dyDescent="0.3">
      <c r="A1431" s="4">
        <v>1428</v>
      </c>
      <c r="B1431" s="5">
        <v>48912.426775535903</v>
      </c>
      <c r="C1431" s="19">
        <v>-39.249524396777012</v>
      </c>
      <c r="D1431" s="5">
        <v>108637.82898008687</v>
      </c>
      <c r="E1431" s="6">
        <v>122.10680626957419</v>
      </c>
    </row>
    <row r="1432" spans="1:5" x14ac:dyDescent="0.3">
      <c r="A1432" s="4">
        <v>1429</v>
      </c>
      <c r="B1432" s="5">
        <v>40224.84627581598</v>
      </c>
      <c r="C1432" s="19">
        <v>-50.039719894973864</v>
      </c>
      <c r="D1432" s="5">
        <v>79268.533476758894</v>
      </c>
      <c r="E1432" s="6">
        <v>97.063608231653561</v>
      </c>
    </row>
    <row r="1433" spans="1:5" x14ac:dyDescent="0.3">
      <c r="A1433" s="4">
        <v>1430</v>
      </c>
      <c r="B1433" s="5">
        <v>63042.036589085896</v>
      </c>
      <c r="C1433" s="19">
        <v>-21.700190355341604</v>
      </c>
      <c r="D1433" s="5">
        <v>110540.77553373431</v>
      </c>
      <c r="E1433" s="6">
        <v>75.34455026294566</v>
      </c>
    </row>
    <row r="1434" spans="1:5" x14ac:dyDescent="0.3">
      <c r="A1434" s="4">
        <v>1431</v>
      </c>
      <c r="B1434" s="5">
        <v>50028.086455377896</v>
      </c>
      <c r="C1434" s="19">
        <v>-37.863846755535135</v>
      </c>
      <c r="D1434" s="5">
        <v>88247.579759080021</v>
      </c>
      <c r="E1434" s="6">
        <v>76.396072709660118</v>
      </c>
    </row>
    <row r="1435" spans="1:5" x14ac:dyDescent="0.3">
      <c r="A1435" s="4">
        <v>1432</v>
      </c>
      <c r="B1435" s="5">
        <v>57427.716152043969</v>
      </c>
      <c r="C1435" s="19">
        <v>-28.673318846888524</v>
      </c>
      <c r="D1435" s="5">
        <v>105499.09088872001</v>
      </c>
      <c r="E1435" s="6">
        <v>83.707620566702758</v>
      </c>
    </row>
    <row r="1436" spans="1:5" x14ac:dyDescent="0.3">
      <c r="A1436" s="4">
        <v>1433</v>
      </c>
      <c r="B1436" s="5">
        <v>73098.886317675933</v>
      </c>
      <c r="C1436" s="19">
        <v>-9.2093277186186491</v>
      </c>
      <c r="D1436" s="5">
        <v>131860.4475756693</v>
      </c>
      <c r="E1436" s="6">
        <v>80.38639741052296</v>
      </c>
    </row>
    <row r="1437" spans="1:5" x14ac:dyDescent="0.3">
      <c r="A1437" s="4">
        <v>1434</v>
      </c>
      <c r="B1437" s="5">
        <v>46217.533826061277</v>
      </c>
      <c r="C1437" s="19">
        <v>-42.596649844705922</v>
      </c>
      <c r="D1437" s="5">
        <v>89008.032187910329</v>
      </c>
      <c r="E1437" s="6">
        <v>92.584988465395398</v>
      </c>
    </row>
    <row r="1438" spans="1:5" x14ac:dyDescent="0.3">
      <c r="A1438" s="4">
        <v>1435</v>
      </c>
      <c r="B1438" s="5">
        <v>65360.054694156039</v>
      </c>
      <c r="C1438" s="19">
        <v>-18.821153030407114</v>
      </c>
      <c r="D1438" s="5">
        <v>119072.52504866688</v>
      </c>
      <c r="E1438" s="6">
        <v>82.179353438199271</v>
      </c>
    </row>
    <row r="1439" spans="1:5" x14ac:dyDescent="0.3">
      <c r="A1439" s="4">
        <v>1436</v>
      </c>
      <c r="B1439" s="5">
        <v>55799.086768863926</v>
      </c>
      <c r="C1439" s="19">
        <v>-30.696117880426911</v>
      </c>
      <c r="D1439" s="5">
        <v>103607.25468246682</v>
      </c>
      <c r="E1439" s="6">
        <v>85.679122512592826</v>
      </c>
    </row>
    <row r="1440" spans="1:5" x14ac:dyDescent="0.3">
      <c r="A1440" s="4">
        <v>1437</v>
      </c>
      <c r="B1440" s="5">
        <v>37833.656581001756</v>
      </c>
      <c r="C1440" s="19">
        <v>-53.009638191690769</v>
      </c>
      <c r="D1440" s="5">
        <v>76013.607223180152</v>
      </c>
      <c r="E1440" s="6">
        <v>100.91530687877135</v>
      </c>
    </row>
    <row r="1441" spans="1:5" x14ac:dyDescent="0.3">
      <c r="A1441" s="4">
        <v>1438</v>
      </c>
      <c r="B1441" s="5">
        <v>50996.636788409298</v>
      </c>
      <c r="C1441" s="19">
        <v>-36.660882657120233</v>
      </c>
      <c r="D1441" s="5">
        <v>95379.7718862123</v>
      </c>
      <c r="E1441" s="6">
        <v>87.031494413942539</v>
      </c>
    </row>
    <row r="1442" spans="1:5" x14ac:dyDescent="0.3">
      <c r="A1442" s="4">
        <v>1439</v>
      </c>
      <c r="B1442" s="5">
        <v>43623.409292563549</v>
      </c>
      <c r="C1442" s="19">
        <v>-45.818618362178839</v>
      </c>
      <c r="D1442" s="5">
        <v>90546.18682658991</v>
      </c>
      <c r="E1442" s="6">
        <v>107.56329753902396</v>
      </c>
    </row>
    <row r="1443" spans="1:5" x14ac:dyDescent="0.3">
      <c r="A1443" s="4">
        <v>1440</v>
      </c>
      <c r="B1443" s="5">
        <v>22569.478983752946</v>
      </c>
      <c r="C1443" s="19">
        <v>-71.968134219304119</v>
      </c>
      <c r="D1443" s="5">
        <v>43114.893551598681</v>
      </c>
      <c r="E1443" s="6">
        <v>91.031851389372918</v>
      </c>
    </row>
    <row r="1444" spans="1:5" x14ac:dyDescent="0.3">
      <c r="A1444" s="4">
        <v>1441</v>
      </c>
      <c r="B1444" s="5">
        <v>65221.631327990523</v>
      </c>
      <c r="C1444" s="19">
        <v>-18.993078364795966</v>
      </c>
      <c r="D1444" s="5">
        <v>109097.44429524336</v>
      </c>
      <c r="E1444" s="6">
        <v>67.27187295669971</v>
      </c>
    </row>
    <row r="1445" spans="1:5" x14ac:dyDescent="0.3">
      <c r="A1445" s="4">
        <v>1442</v>
      </c>
      <c r="B1445" s="5">
        <v>75341.281568418053</v>
      </c>
      <c r="C1445" s="19">
        <v>-6.4242158983004742</v>
      </c>
      <c r="D1445" s="5">
        <v>129226.19577720873</v>
      </c>
      <c r="E1445" s="6">
        <v>71.521101163984497</v>
      </c>
    </row>
    <row r="1446" spans="1:5" x14ac:dyDescent="0.3">
      <c r="A1446" s="4">
        <v>1443</v>
      </c>
      <c r="B1446" s="5">
        <v>53671.495619130626</v>
      </c>
      <c r="C1446" s="19">
        <v>-33.338640093210529</v>
      </c>
      <c r="D1446" s="5">
        <v>109841.57305047891</v>
      </c>
      <c r="E1446" s="6">
        <v>104.65532361898084</v>
      </c>
    </row>
    <row r="1447" spans="1:5" x14ac:dyDescent="0.3">
      <c r="A1447" s="4">
        <v>1444</v>
      </c>
      <c r="B1447" s="5">
        <v>44496.923934106715</v>
      </c>
      <c r="C1447" s="19">
        <v>-44.733691004890815</v>
      </c>
      <c r="D1447" s="5">
        <v>82206.093294501057</v>
      </c>
      <c r="E1447" s="6">
        <v>84.745564471458707</v>
      </c>
    </row>
    <row r="1448" spans="1:5" x14ac:dyDescent="0.3">
      <c r="A1448" s="4">
        <v>1445</v>
      </c>
      <c r="B1448" s="5">
        <v>54794.346703860458</v>
      </c>
      <c r="C1448" s="19">
        <v>-31.944030544557961</v>
      </c>
      <c r="D1448" s="5">
        <v>101326.07400944401</v>
      </c>
      <c r="E1448" s="6">
        <v>84.920671756645334</v>
      </c>
    </row>
    <row r="1449" spans="1:5" x14ac:dyDescent="0.3">
      <c r="A1449" s="4">
        <v>1446</v>
      </c>
      <c r="B1449" s="5">
        <v>35171.395524327905</v>
      </c>
      <c r="C1449" s="19">
        <v>-56.316234000463204</v>
      </c>
      <c r="D1449" s="5">
        <v>64004.429427894778</v>
      </c>
      <c r="E1449" s="6">
        <v>81.978646208744223</v>
      </c>
    </row>
    <row r="1450" spans="1:5" x14ac:dyDescent="0.3">
      <c r="A1450" s="4">
        <v>1447</v>
      </c>
      <c r="B1450" s="5">
        <v>337135.52269354824</v>
      </c>
      <c r="C1450" s="19">
        <v>318.73087672309293</v>
      </c>
      <c r="D1450" s="5">
        <v>633513.02897986851</v>
      </c>
      <c r="E1450" s="6">
        <v>87.910494841483526</v>
      </c>
    </row>
    <row r="1451" spans="1:5" x14ac:dyDescent="0.3">
      <c r="A1451" s="4">
        <v>1448</v>
      </c>
      <c r="B1451" s="5">
        <v>49799.498217624699</v>
      </c>
      <c r="C1451" s="19">
        <v>-38.147759149097972</v>
      </c>
      <c r="D1451" s="5">
        <v>100500.85273908403</v>
      </c>
      <c r="E1451" s="6">
        <v>101.81097468069558</v>
      </c>
    </row>
    <row r="1452" spans="1:5" x14ac:dyDescent="0.3">
      <c r="A1452" s="4">
        <v>1449</v>
      </c>
      <c r="B1452" s="5">
        <v>61859.794789975218</v>
      </c>
      <c r="C1452" s="19">
        <v>-23.168564678774398</v>
      </c>
      <c r="D1452" s="5">
        <v>128685.33736858959</v>
      </c>
      <c r="E1452" s="6">
        <v>108.02742363678821</v>
      </c>
    </row>
    <row r="1453" spans="1:5" x14ac:dyDescent="0.3">
      <c r="A1453" s="4">
        <v>1450</v>
      </c>
      <c r="B1453" s="5">
        <v>39641.633628860523</v>
      </c>
      <c r="C1453" s="19">
        <v>-50.764084806225405</v>
      </c>
      <c r="D1453" s="5">
        <v>70931.161435675094</v>
      </c>
      <c r="E1453" s="6">
        <v>78.930974691302026</v>
      </c>
    </row>
    <row r="1454" spans="1:5" x14ac:dyDescent="0.3">
      <c r="A1454" s="4">
        <v>1451</v>
      </c>
      <c r="B1454" s="5">
        <v>98383.765371684072</v>
      </c>
      <c r="C1454" s="19">
        <v>22.195133874549473</v>
      </c>
      <c r="D1454" s="5">
        <v>206130.67426180613</v>
      </c>
      <c r="E1454" s="6">
        <v>109.51695992023171</v>
      </c>
    </row>
    <row r="1455" spans="1:5" x14ac:dyDescent="0.3">
      <c r="A1455" s="4">
        <v>1452</v>
      </c>
      <c r="B1455" s="5">
        <v>79745.073543633393</v>
      </c>
      <c r="C1455" s="19">
        <v>-0.95459448328211305</v>
      </c>
      <c r="D1455" s="5">
        <v>131475.28198675584</v>
      </c>
      <c r="E1455" s="6">
        <v>64.869472362850971</v>
      </c>
    </row>
    <row r="1456" spans="1:5" x14ac:dyDescent="0.3">
      <c r="A1456" s="4">
        <v>1453</v>
      </c>
      <c r="B1456" s="5">
        <v>64921.584841817705</v>
      </c>
      <c r="C1456" s="19">
        <v>-19.365743716726357</v>
      </c>
      <c r="D1456" s="5">
        <v>118267.40972847686</v>
      </c>
      <c r="E1456" s="6">
        <v>82.169628200908789</v>
      </c>
    </row>
    <row r="1457" spans="1:5" x14ac:dyDescent="0.3">
      <c r="A1457" s="4">
        <v>1454</v>
      </c>
      <c r="B1457" s="5">
        <v>93191.632608564745</v>
      </c>
      <c r="C1457" s="19">
        <v>15.746373190437629</v>
      </c>
      <c r="D1457" s="5">
        <v>209394.57968992717</v>
      </c>
      <c r="E1457" s="6">
        <v>124.69246844236832</v>
      </c>
    </row>
    <row r="1458" spans="1:5" x14ac:dyDescent="0.3">
      <c r="A1458" s="4">
        <v>1455</v>
      </c>
      <c r="B1458" s="5">
        <v>76086.353933290768</v>
      </c>
      <c r="C1458" s="19">
        <v>-5.4988171088976436</v>
      </c>
      <c r="D1458" s="5">
        <v>147507.90672422881</v>
      </c>
      <c r="E1458" s="6">
        <v>93.86906994328757</v>
      </c>
    </row>
    <row r="1459" spans="1:5" x14ac:dyDescent="0.3">
      <c r="A1459" s="4">
        <v>1456</v>
      </c>
      <c r="B1459" s="5">
        <v>30740.343587232808</v>
      </c>
      <c r="C1459" s="19">
        <v>-61.819712980077988</v>
      </c>
      <c r="D1459" s="5">
        <v>55978.803865196096</v>
      </c>
      <c r="E1459" s="6">
        <v>82.102076075836123</v>
      </c>
    </row>
    <row r="1460" spans="1:5" x14ac:dyDescent="0.3">
      <c r="A1460" s="4">
        <v>1457</v>
      </c>
      <c r="B1460" s="5">
        <v>85985.000732133543</v>
      </c>
      <c r="C1460" s="19">
        <v>6.7955534734017</v>
      </c>
      <c r="D1460" s="5">
        <v>184585.00674017976</v>
      </c>
      <c r="E1460" s="6">
        <v>114.67116958597443</v>
      </c>
    </row>
    <row r="1461" spans="1:5" x14ac:dyDescent="0.3">
      <c r="A1461" s="4">
        <v>1458</v>
      </c>
      <c r="B1461" s="5">
        <v>69456.297976985807</v>
      </c>
      <c r="C1461" s="19">
        <v>-13.733514897864479</v>
      </c>
      <c r="D1461" s="5">
        <v>126430.00372522575</v>
      </c>
      <c r="E1461" s="6">
        <v>82.02813482388315</v>
      </c>
    </row>
    <row r="1462" spans="1:5" x14ac:dyDescent="0.3">
      <c r="A1462" s="4">
        <v>1459</v>
      </c>
      <c r="B1462" s="5">
        <v>56509.075330273481</v>
      </c>
      <c r="C1462" s="19">
        <v>-29.814294065460288</v>
      </c>
      <c r="D1462" s="5">
        <v>87044.342317511138</v>
      </c>
      <c r="E1462" s="6">
        <v>54.036040775346159</v>
      </c>
    </row>
    <row r="1463" spans="1:5" x14ac:dyDescent="0.3">
      <c r="A1463" s="4">
        <v>1460</v>
      </c>
      <c r="B1463" s="5">
        <v>61188.915662328684</v>
      </c>
      <c r="C1463" s="19">
        <v>-24.00181358428949</v>
      </c>
      <c r="D1463" s="5">
        <v>122025.08159945199</v>
      </c>
      <c r="E1463" s="6">
        <v>99.423507147680098</v>
      </c>
    </row>
    <row r="1464" spans="1:5" x14ac:dyDescent="0.3">
      <c r="A1464" s="4">
        <v>1461</v>
      </c>
      <c r="B1464" s="5">
        <v>37321.075619080206</v>
      </c>
      <c r="C1464" s="19">
        <v>-53.646276757280539</v>
      </c>
      <c r="D1464" s="5">
        <v>82677.04410156222</v>
      </c>
      <c r="E1464" s="6">
        <v>121.52910314110564</v>
      </c>
    </row>
    <row r="1465" spans="1:5" x14ac:dyDescent="0.3">
      <c r="A1465" s="4">
        <v>1462</v>
      </c>
      <c r="B1465" s="5">
        <v>76146.611076239351</v>
      </c>
      <c r="C1465" s="19">
        <v>-5.4239762078436655</v>
      </c>
      <c r="D1465" s="5">
        <v>154536.48112429667</v>
      </c>
      <c r="E1465" s="6">
        <v>102.94597348471881</v>
      </c>
    </row>
    <row r="1466" spans="1:5" x14ac:dyDescent="0.3">
      <c r="A1466" s="4">
        <v>1463</v>
      </c>
      <c r="B1466" s="5">
        <v>84596.610878172636</v>
      </c>
      <c r="C1466" s="19">
        <v>5.0711380331724971</v>
      </c>
      <c r="D1466" s="5">
        <v>181196.95492417458</v>
      </c>
      <c r="E1466" s="6">
        <v>114.18937832523322</v>
      </c>
    </row>
    <row r="1467" spans="1:5" x14ac:dyDescent="0.3">
      <c r="A1467" s="4">
        <v>1464</v>
      </c>
      <c r="B1467" s="5">
        <v>109741.5641978342</v>
      </c>
      <c r="C1467" s="19">
        <v>36.301808312536167</v>
      </c>
      <c r="D1467" s="5">
        <v>208173.11055417467</v>
      </c>
      <c r="E1467" s="6">
        <v>89.693952401566975</v>
      </c>
    </row>
    <row r="1468" spans="1:5" x14ac:dyDescent="0.3">
      <c r="A1468" s="4">
        <v>1465</v>
      </c>
      <c r="B1468" s="5">
        <v>54830.640561135719</v>
      </c>
      <c r="C1468" s="19">
        <v>-31.898952652572234</v>
      </c>
      <c r="D1468" s="5">
        <v>104261.83130802258</v>
      </c>
      <c r="E1468" s="6">
        <v>90.152495467878921</v>
      </c>
    </row>
    <row r="1469" spans="1:5" x14ac:dyDescent="0.3">
      <c r="A1469" s="4">
        <v>1466</v>
      </c>
      <c r="B1469" s="5">
        <v>38040.605010112202</v>
      </c>
      <c r="C1469" s="19">
        <v>-52.75260298974721</v>
      </c>
      <c r="D1469" s="5">
        <v>72378.242620975827</v>
      </c>
      <c r="E1469" s="6">
        <v>90.26575050984539</v>
      </c>
    </row>
    <row r="1470" spans="1:5" x14ac:dyDescent="0.3">
      <c r="A1470" s="4">
        <v>1467</v>
      </c>
      <c r="B1470" s="5">
        <v>60782.896354181335</v>
      </c>
      <c r="C1470" s="19">
        <v>-24.506099871028791</v>
      </c>
      <c r="D1470" s="5">
        <v>115209.73661754046</v>
      </c>
      <c r="E1470" s="6">
        <v>89.54301872390954</v>
      </c>
    </row>
    <row r="1471" spans="1:5" x14ac:dyDescent="0.3">
      <c r="A1471" s="4">
        <v>1468</v>
      </c>
      <c r="B1471" s="5">
        <v>43234.102621313934</v>
      </c>
      <c r="C1471" s="19">
        <v>-46.302147129672974</v>
      </c>
      <c r="D1471" s="5">
        <v>88975.926821058398</v>
      </c>
      <c r="E1471" s="6">
        <v>105.80033220625759</v>
      </c>
    </row>
    <row r="1472" spans="1:5" x14ac:dyDescent="0.3">
      <c r="A1472" s="4">
        <v>1469</v>
      </c>
      <c r="B1472" s="5">
        <v>40621.929612478765</v>
      </c>
      <c r="C1472" s="19">
        <v>-49.546532311640867</v>
      </c>
      <c r="D1472" s="5">
        <v>86495.053225727548</v>
      </c>
      <c r="E1472" s="6">
        <v>112.92699300812359</v>
      </c>
    </row>
    <row r="1473" spans="1:5" x14ac:dyDescent="0.3">
      <c r="A1473" s="4">
        <v>1470</v>
      </c>
      <c r="B1473" s="5">
        <v>46319.917743653721</v>
      </c>
      <c r="C1473" s="19">
        <v>-42.469486420237011</v>
      </c>
      <c r="D1473" s="5">
        <v>90953.478971502991</v>
      </c>
      <c r="E1473" s="6">
        <v>96.359327481673901</v>
      </c>
    </row>
    <row r="1474" spans="1:5" x14ac:dyDescent="0.3">
      <c r="A1474" s="4">
        <v>1471</v>
      </c>
      <c r="B1474" s="5">
        <v>103629.0774556222</v>
      </c>
      <c r="C1474" s="19">
        <v>28.70994462497319</v>
      </c>
      <c r="D1474" s="5">
        <v>175742.11281536554</v>
      </c>
      <c r="E1474" s="6">
        <v>69.587645794323322</v>
      </c>
    </row>
    <row r="1475" spans="1:5" x14ac:dyDescent="0.3">
      <c r="A1475" s="4">
        <v>1472</v>
      </c>
      <c r="B1475" s="5">
        <v>67055.215865969789</v>
      </c>
      <c r="C1475" s="19">
        <v>-16.715719826603994</v>
      </c>
      <c r="D1475" s="5">
        <v>126534.393057924</v>
      </c>
      <c r="E1475" s="6">
        <v>88.701790641970945</v>
      </c>
    </row>
    <row r="1476" spans="1:5" x14ac:dyDescent="0.3">
      <c r="A1476" s="4">
        <v>1473</v>
      </c>
      <c r="B1476" s="5">
        <v>54422.813533405431</v>
      </c>
      <c r="C1476" s="19">
        <v>-32.405484172919031</v>
      </c>
      <c r="D1476" s="5">
        <v>98138.19935400688</v>
      </c>
      <c r="E1476" s="6">
        <v>80.325479302477405</v>
      </c>
    </row>
    <row r="1477" spans="1:5" x14ac:dyDescent="0.3">
      <c r="A1477" s="4">
        <v>1474</v>
      </c>
      <c r="B1477" s="5">
        <v>56825.396038651059</v>
      </c>
      <c r="C1477" s="19">
        <v>-29.42141571646172</v>
      </c>
      <c r="D1477" s="5">
        <v>103678.99759326405</v>
      </c>
      <c r="E1477" s="6">
        <v>82.451869799102624</v>
      </c>
    </row>
    <row r="1478" spans="1:5" x14ac:dyDescent="0.3">
      <c r="A1478" s="4">
        <v>1475</v>
      </c>
      <c r="B1478" s="5">
        <v>121199.50100947591</v>
      </c>
      <c r="C1478" s="19">
        <v>50.532856670313819</v>
      </c>
      <c r="D1478" s="5">
        <v>215020.53466780146</v>
      </c>
      <c r="E1478" s="6">
        <v>77.41041248263079</v>
      </c>
    </row>
    <row r="1479" spans="1:5" x14ac:dyDescent="0.3">
      <c r="A1479" s="4">
        <v>1476</v>
      </c>
      <c r="B1479" s="5">
        <v>32400.894413668568</v>
      </c>
      <c r="C1479" s="19">
        <v>-59.757266703751476</v>
      </c>
      <c r="D1479" s="5">
        <v>63209.776942980199</v>
      </c>
      <c r="E1479" s="6">
        <v>95.086518711392941</v>
      </c>
    </row>
    <row r="1480" spans="1:5" x14ac:dyDescent="0.3">
      <c r="A1480" s="4">
        <v>1477</v>
      </c>
      <c r="B1480" s="5">
        <v>60268.640494544416</v>
      </c>
      <c r="C1480" s="19">
        <v>-25.144818702095108</v>
      </c>
      <c r="D1480" s="5">
        <v>117119.37246371389</v>
      </c>
      <c r="E1480" s="6">
        <v>94.32887734428931</v>
      </c>
    </row>
    <row r="1481" spans="1:5" x14ac:dyDescent="0.3">
      <c r="A1481" s="4">
        <v>1478</v>
      </c>
      <c r="B1481" s="5">
        <v>58553.34948962483</v>
      </c>
      <c r="C1481" s="19">
        <v>-27.275253669572823</v>
      </c>
      <c r="D1481" s="5">
        <v>104148.26432517541</v>
      </c>
      <c r="E1481" s="6">
        <v>77.869012162369316</v>
      </c>
    </row>
    <row r="1482" spans="1:5" x14ac:dyDescent="0.3">
      <c r="A1482" s="4">
        <v>1479</v>
      </c>
      <c r="B1482" s="5">
        <v>48509.6853594598</v>
      </c>
      <c r="C1482" s="19">
        <v>-39.749739458360835</v>
      </c>
      <c r="D1482" s="5">
        <v>99541.485754477457</v>
      </c>
      <c r="E1482" s="6">
        <v>105.19919891639952</v>
      </c>
    </row>
    <row r="1483" spans="1:5" x14ac:dyDescent="0.3">
      <c r="A1483" s="4">
        <v>1480</v>
      </c>
      <c r="B1483" s="5">
        <v>52424.499849368607</v>
      </c>
      <c r="C1483" s="19">
        <v>-34.887440491847464</v>
      </c>
      <c r="D1483" s="5">
        <v>93344.913618809383</v>
      </c>
      <c r="E1483" s="6">
        <v>78.0558973133124</v>
      </c>
    </row>
    <row r="1484" spans="1:5" x14ac:dyDescent="0.3">
      <c r="A1484" s="4">
        <v>1481</v>
      </c>
      <c r="B1484" s="5">
        <v>42628.410869235449</v>
      </c>
      <c r="C1484" s="19">
        <v>-47.054431660076226</v>
      </c>
      <c r="D1484" s="5">
        <v>88892.00343417468</v>
      </c>
      <c r="E1484" s="6">
        <v>108.52760312096751</v>
      </c>
    </row>
    <row r="1485" spans="1:5" x14ac:dyDescent="0.3">
      <c r="A1485" s="4">
        <v>1482</v>
      </c>
      <c r="B1485" s="5">
        <v>41631.905844104425</v>
      </c>
      <c r="C1485" s="19">
        <v>-48.292116195655026</v>
      </c>
      <c r="D1485" s="5">
        <v>86794.152993730837</v>
      </c>
      <c r="E1485" s="6">
        <v>108.47989356706793</v>
      </c>
    </row>
    <row r="1486" spans="1:5" x14ac:dyDescent="0.3">
      <c r="A1486" s="4">
        <v>1483</v>
      </c>
      <c r="B1486" s="5">
        <v>77146.20809668905</v>
      </c>
      <c r="C1486" s="19">
        <v>-4.1824513355947062</v>
      </c>
      <c r="D1486" s="5">
        <v>156015.36169853361</v>
      </c>
      <c r="E1486" s="6">
        <v>102.23335086411001</v>
      </c>
    </row>
    <row r="1487" spans="1:5" x14ac:dyDescent="0.3">
      <c r="A1487" s="4">
        <v>1484</v>
      </c>
      <c r="B1487" s="5">
        <v>52988.287611007683</v>
      </c>
      <c r="C1487" s="19">
        <v>-34.187201781222278</v>
      </c>
      <c r="D1487" s="5">
        <v>96698.527551132196</v>
      </c>
      <c r="E1487" s="6">
        <v>82.49038025347366</v>
      </c>
    </row>
    <row r="1488" spans="1:5" x14ac:dyDescent="0.3">
      <c r="A1488" s="4">
        <v>1485</v>
      </c>
      <c r="B1488" s="5">
        <v>145156.9130174726</v>
      </c>
      <c r="C1488" s="19">
        <v>80.288570497134444</v>
      </c>
      <c r="D1488" s="5">
        <v>239139.0291941943</v>
      </c>
      <c r="E1488" s="6">
        <v>64.745187964564266</v>
      </c>
    </row>
    <row r="1489" spans="1:5" x14ac:dyDescent="0.3">
      <c r="A1489" s="4">
        <v>1486</v>
      </c>
      <c r="B1489" s="5">
        <v>45992.501738077619</v>
      </c>
      <c r="C1489" s="19">
        <v>-42.876145409988965</v>
      </c>
      <c r="D1489" s="5">
        <v>90328.062364462487</v>
      </c>
      <c r="E1489" s="6">
        <v>96.397366855299907</v>
      </c>
    </row>
    <row r="1490" spans="1:5" x14ac:dyDescent="0.3">
      <c r="A1490" s="4">
        <v>1487</v>
      </c>
      <c r="B1490" s="5">
        <v>55905.148505732635</v>
      </c>
      <c r="C1490" s="19">
        <v>-30.564386511062498</v>
      </c>
      <c r="D1490" s="5">
        <v>101364.81028071475</v>
      </c>
      <c r="E1490" s="6">
        <v>81.315698088737904</v>
      </c>
    </row>
    <row r="1491" spans="1:5" x14ac:dyDescent="0.3">
      <c r="A1491" s="4">
        <v>1488</v>
      </c>
      <c r="B1491" s="5">
        <v>50272.213474240569</v>
      </c>
      <c r="C1491" s="19">
        <v>-37.56063480141222</v>
      </c>
      <c r="D1491" s="5">
        <v>108075.7332726492</v>
      </c>
      <c r="E1491" s="6">
        <v>114.9810517653596</v>
      </c>
    </row>
    <row r="1492" spans="1:5" x14ac:dyDescent="0.3">
      <c r="A1492" s="4">
        <v>1489</v>
      </c>
      <c r="B1492" s="5">
        <v>32133.463685960101</v>
      </c>
      <c r="C1492" s="19">
        <v>-60.089422455780763</v>
      </c>
      <c r="D1492" s="5">
        <v>62181.426616567915</v>
      </c>
      <c r="E1492" s="6">
        <v>93.509878749039132</v>
      </c>
    </row>
    <row r="1493" spans="1:5" x14ac:dyDescent="0.3">
      <c r="A1493" s="4">
        <v>1490</v>
      </c>
      <c r="B1493" s="5">
        <v>65778.134764415008</v>
      </c>
      <c r="C1493" s="19">
        <v>-18.301886970985901</v>
      </c>
      <c r="D1493" s="5">
        <v>122411.34833777354</v>
      </c>
      <c r="E1493" s="6">
        <v>86.097323641345113</v>
      </c>
    </row>
    <row r="1494" spans="1:5" x14ac:dyDescent="0.3">
      <c r="A1494" s="4">
        <v>1491</v>
      </c>
      <c r="B1494" s="5">
        <v>37791.947987696964</v>
      </c>
      <c r="C1494" s="19">
        <v>-53.061441323267857</v>
      </c>
      <c r="D1494" s="5">
        <v>74426.314128306185</v>
      </c>
      <c r="E1494" s="6">
        <v>96.936961684365713</v>
      </c>
    </row>
    <row r="1495" spans="1:5" x14ac:dyDescent="0.3">
      <c r="A1495" s="4">
        <v>1492</v>
      </c>
      <c r="B1495" s="5">
        <v>25153.723402628024</v>
      </c>
      <c r="C1495" s="19">
        <v>-68.758437054980277</v>
      </c>
      <c r="D1495" s="5">
        <v>50015.654378856452</v>
      </c>
      <c r="E1495" s="6">
        <v>98.839963286035385</v>
      </c>
    </row>
    <row r="1496" spans="1:5" x14ac:dyDescent="0.3">
      <c r="A1496" s="4">
        <v>1493</v>
      </c>
      <c r="B1496" s="5">
        <v>82079.217953933985</v>
      </c>
      <c r="C1496" s="19">
        <v>1.9444721220838772</v>
      </c>
      <c r="D1496" s="5">
        <v>160815.69580266852</v>
      </c>
      <c r="E1496" s="6">
        <v>95.927422082559886</v>
      </c>
    </row>
    <row r="1497" spans="1:5" x14ac:dyDescent="0.3">
      <c r="A1497" s="4">
        <v>1494</v>
      </c>
      <c r="B1497" s="5">
        <v>68786.522836078817</v>
      </c>
      <c r="C1497" s="19">
        <v>-14.565392623826472</v>
      </c>
      <c r="D1497" s="5">
        <v>123748.90328837154</v>
      </c>
      <c r="E1497" s="6">
        <v>79.902832976846923</v>
      </c>
    </row>
    <row r="1498" spans="1:5" x14ac:dyDescent="0.3">
      <c r="A1498" s="4">
        <v>1495</v>
      </c>
      <c r="B1498" s="5">
        <v>34217.589940844664</v>
      </c>
      <c r="C1498" s="19">
        <v>-57.500884745672145</v>
      </c>
      <c r="D1498" s="5">
        <v>67237.118342856687</v>
      </c>
      <c r="E1498" s="6">
        <v>96.498696895649729</v>
      </c>
    </row>
    <row r="1499" spans="1:5" x14ac:dyDescent="0.3">
      <c r="A1499" s="4">
        <v>1496</v>
      </c>
      <c r="B1499" s="5">
        <v>72454.395491478674</v>
      </c>
      <c r="C1499" s="19">
        <v>-10.009801683917392</v>
      </c>
      <c r="D1499" s="5">
        <v>141179.80650609866</v>
      </c>
      <c r="E1499" s="6">
        <v>94.853335740966529</v>
      </c>
    </row>
    <row r="1500" spans="1:5" x14ac:dyDescent="0.3">
      <c r="A1500" s="4">
        <v>1497</v>
      </c>
      <c r="B1500" s="5">
        <v>32558.815986568574</v>
      </c>
      <c r="C1500" s="19">
        <v>-59.561124101673869</v>
      </c>
      <c r="D1500" s="5">
        <v>69084.010310883372</v>
      </c>
      <c r="E1500" s="6">
        <v>112.18219464547626</v>
      </c>
    </row>
    <row r="1501" spans="1:5" x14ac:dyDescent="0.3">
      <c r="A1501" s="4">
        <v>1498</v>
      </c>
      <c r="B1501" s="5">
        <v>56715.13345711369</v>
      </c>
      <c r="C1501" s="19">
        <v>-29.558364641534979</v>
      </c>
      <c r="D1501" s="5">
        <v>108841.03685831536</v>
      </c>
      <c r="E1501" s="6">
        <v>91.908279543444507</v>
      </c>
    </row>
    <row r="1502" spans="1:5" x14ac:dyDescent="0.3">
      <c r="A1502" s="4">
        <v>1499</v>
      </c>
      <c r="B1502" s="5">
        <v>68993.363118515786</v>
      </c>
      <c r="C1502" s="19">
        <v>-14.308491742796466</v>
      </c>
      <c r="D1502" s="5">
        <v>133292.77901048021</v>
      </c>
      <c r="E1502" s="6">
        <v>93.196523528664386</v>
      </c>
    </row>
    <row r="1503" spans="1:5" x14ac:dyDescent="0.3">
      <c r="A1503" s="4">
        <v>1500</v>
      </c>
      <c r="B1503" s="5">
        <v>111260.12439202923</v>
      </c>
      <c r="C1503" s="19">
        <v>38.187898619460221</v>
      </c>
      <c r="D1503" s="5">
        <v>176727.20809905129</v>
      </c>
      <c r="E1503" s="6">
        <v>58.841461902690604</v>
      </c>
    </row>
    <row r="1504" spans="1:5" x14ac:dyDescent="0.3">
      <c r="A1504" s="4">
        <v>1501</v>
      </c>
      <c r="B1504" s="5">
        <v>66075.637459980426</v>
      </c>
      <c r="C1504" s="19">
        <v>-17.932381071559139</v>
      </c>
      <c r="D1504" s="5">
        <v>135573.61777499758</v>
      </c>
      <c r="E1504" s="6">
        <v>105.17943221828092</v>
      </c>
    </row>
    <row r="1505" spans="1:5" x14ac:dyDescent="0.3">
      <c r="A1505" s="4">
        <v>1502</v>
      </c>
      <c r="B1505" s="5">
        <v>28951.938238677601</v>
      </c>
      <c r="C1505" s="19">
        <v>-64.040957818218345</v>
      </c>
      <c r="D1505" s="5">
        <v>55550.210802728783</v>
      </c>
      <c r="E1505" s="6">
        <v>91.870438327054387</v>
      </c>
    </row>
    <row r="1506" spans="1:5" x14ac:dyDescent="0.3">
      <c r="A1506" s="4">
        <v>1503</v>
      </c>
      <c r="B1506" s="5">
        <v>34088.275362496206</v>
      </c>
      <c r="C1506" s="19">
        <v>-57.661496734383121</v>
      </c>
      <c r="D1506" s="5">
        <v>70704.006207695187</v>
      </c>
      <c r="E1506" s="6">
        <v>107.41444222632475</v>
      </c>
    </row>
    <row r="1507" spans="1:5" x14ac:dyDescent="0.3">
      <c r="A1507" s="4">
        <v>1504</v>
      </c>
      <c r="B1507" s="5">
        <v>83272.720531902363</v>
      </c>
      <c r="C1507" s="19">
        <v>3.4268326186911793</v>
      </c>
      <c r="D1507" s="5">
        <v>169943.89048286545</v>
      </c>
      <c r="E1507" s="6">
        <v>104.08110771132877</v>
      </c>
    </row>
    <row r="1508" spans="1:5" x14ac:dyDescent="0.3">
      <c r="A1508" s="4">
        <v>1505</v>
      </c>
      <c r="B1508" s="5">
        <v>98640.087135683803</v>
      </c>
      <c r="C1508" s="19">
        <v>22.513492011672799</v>
      </c>
      <c r="D1508" s="5">
        <v>217386.30613822452</v>
      </c>
      <c r="E1508" s="6">
        <v>120.38332735777092</v>
      </c>
    </row>
    <row r="1509" spans="1:5" x14ac:dyDescent="0.3">
      <c r="A1509" s="4">
        <v>1506</v>
      </c>
      <c r="B1509" s="5">
        <v>49939.293624642807</v>
      </c>
      <c r="C1509" s="19">
        <v>-37.974129705143575</v>
      </c>
      <c r="D1509" s="5">
        <v>98146.53953815678</v>
      </c>
      <c r="E1509" s="6">
        <v>96.53169361155291</v>
      </c>
    </row>
    <row r="1510" spans="1:5" x14ac:dyDescent="0.3">
      <c r="A1510" s="4">
        <v>1507</v>
      </c>
      <c r="B1510" s="5">
        <v>118005.26143722162</v>
      </c>
      <c r="C1510" s="19">
        <v>46.565530041937642</v>
      </c>
      <c r="D1510" s="5">
        <v>231901.9283032878</v>
      </c>
      <c r="E1510" s="6">
        <v>96.518295437749444</v>
      </c>
    </row>
    <row r="1511" spans="1:5" x14ac:dyDescent="0.3">
      <c r="A1511" s="4">
        <v>1508</v>
      </c>
      <c r="B1511" s="5">
        <v>80318.15297356277</v>
      </c>
      <c r="C1511" s="19">
        <v>-0.24281528478921349</v>
      </c>
      <c r="D1511" s="5">
        <v>140073.53141385727</v>
      </c>
      <c r="E1511" s="6">
        <v>74.398347357369346</v>
      </c>
    </row>
    <row r="1512" spans="1:5" x14ac:dyDescent="0.3">
      <c r="A1512" s="4">
        <v>1509</v>
      </c>
      <c r="B1512" s="5">
        <v>69181.626961602306</v>
      </c>
      <c r="C1512" s="19">
        <v>-14.074663270966953</v>
      </c>
      <c r="D1512" s="5">
        <v>132074.92500865084</v>
      </c>
      <c r="E1512" s="6">
        <v>90.910406142885364</v>
      </c>
    </row>
    <row r="1513" spans="1:5" x14ac:dyDescent="0.3">
      <c r="A1513" s="4">
        <v>1510</v>
      </c>
      <c r="B1513" s="5">
        <v>146102.40179695431</v>
      </c>
      <c r="C1513" s="19">
        <v>81.462891560667373</v>
      </c>
      <c r="D1513" s="5">
        <v>266174.96590321459</v>
      </c>
      <c r="E1513" s="6">
        <v>82.183839984459013</v>
      </c>
    </row>
    <row r="1514" spans="1:5" x14ac:dyDescent="0.3">
      <c r="A1514" s="4">
        <v>1511</v>
      </c>
      <c r="B1514" s="5">
        <v>56538.203580134694</v>
      </c>
      <c r="C1514" s="19">
        <v>-29.778116039767987</v>
      </c>
      <c r="D1514" s="5">
        <v>102109.58553042133</v>
      </c>
      <c r="E1514" s="6">
        <v>80.602812018418348</v>
      </c>
    </row>
    <row r="1515" spans="1:5" x14ac:dyDescent="0.3">
      <c r="A1515" s="4">
        <v>1512</v>
      </c>
      <c r="B1515" s="5">
        <v>58969.172184318202</v>
      </c>
      <c r="C1515" s="19">
        <v>-26.758791327903225</v>
      </c>
      <c r="D1515" s="5">
        <v>99005.189604779996</v>
      </c>
      <c r="E1515" s="6">
        <v>67.893131169151218</v>
      </c>
    </row>
    <row r="1516" spans="1:5" x14ac:dyDescent="0.3">
      <c r="A1516" s="4">
        <v>1513</v>
      </c>
      <c r="B1516" s="5">
        <v>99593.972036775333</v>
      </c>
      <c r="C1516" s="19">
        <v>23.698241271364566</v>
      </c>
      <c r="D1516" s="5">
        <v>188167.827612258</v>
      </c>
      <c r="E1516" s="6">
        <v>88.934956367416035</v>
      </c>
    </row>
    <row r="1517" spans="1:5" x14ac:dyDescent="0.3">
      <c r="A1517" s="4">
        <v>1514</v>
      </c>
      <c r="B1517" s="5">
        <v>112907.74224130272</v>
      </c>
      <c r="C1517" s="19">
        <v>40.234281809872414</v>
      </c>
      <c r="D1517" s="5">
        <v>177348.42033400084</v>
      </c>
      <c r="E1517" s="6">
        <v>57.073746063381215</v>
      </c>
    </row>
    <row r="1518" spans="1:5" x14ac:dyDescent="0.3">
      <c r="A1518" s="4">
        <v>1515</v>
      </c>
      <c r="B1518" s="5">
        <v>65474.705484794948</v>
      </c>
      <c r="C1518" s="19">
        <v>-18.67875383824348</v>
      </c>
      <c r="D1518" s="5">
        <v>124131.69421545141</v>
      </c>
      <c r="E1518" s="6">
        <v>89.587250979354536</v>
      </c>
    </row>
    <row r="1519" spans="1:5" x14ac:dyDescent="0.3">
      <c r="A1519" s="4">
        <v>1516</v>
      </c>
      <c r="B1519" s="5">
        <v>70592.464623665321</v>
      </c>
      <c r="C1519" s="19">
        <v>-12.322367083280437</v>
      </c>
      <c r="D1519" s="5">
        <v>132386.23217633436</v>
      </c>
      <c r="E1519" s="6">
        <v>87.535925940675241</v>
      </c>
    </row>
    <row r="1520" spans="1:5" x14ac:dyDescent="0.3">
      <c r="A1520" s="4">
        <v>1517</v>
      </c>
      <c r="B1520" s="5">
        <v>61801.418780016946</v>
      </c>
      <c r="C1520" s="19">
        <v>-23.241069164905461</v>
      </c>
      <c r="D1520" s="5">
        <v>110591.73818459512</v>
      </c>
      <c r="E1520" s="6">
        <v>78.946924468268321</v>
      </c>
    </row>
    <row r="1521" spans="1:5" x14ac:dyDescent="0.3">
      <c r="A1521" s="4">
        <v>1518</v>
      </c>
      <c r="B1521" s="5">
        <v>52860.873997271505</v>
      </c>
      <c r="C1521" s="19">
        <v>-34.345452723632469</v>
      </c>
      <c r="D1521" s="5">
        <v>93244.152091618307</v>
      </c>
      <c r="E1521" s="6">
        <v>76.395403709048111</v>
      </c>
    </row>
    <row r="1522" spans="1:5" x14ac:dyDescent="0.3">
      <c r="A1522" s="4">
        <v>1519</v>
      </c>
      <c r="B1522" s="5">
        <v>47018.068588190617</v>
      </c>
      <c r="C1522" s="19">
        <v>-41.602365350103945</v>
      </c>
      <c r="D1522" s="5">
        <v>107035.62103895971</v>
      </c>
      <c r="E1522" s="6">
        <v>127.64784741890381</v>
      </c>
    </row>
    <row r="1523" spans="1:5" x14ac:dyDescent="0.3">
      <c r="A1523" s="4">
        <v>1520</v>
      </c>
      <c r="B1523" s="5">
        <v>44858.964701982244</v>
      </c>
      <c r="C1523" s="19">
        <v>-44.284027181479892</v>
      </c>
      <c r="D1523" s="5">
        <v>84427.727109859072</v>
      </c>
      <c r="E1523" s="6">
        <v>88.207034359240012</v>
      </c>
    </row>
    <row r="1524" spans="1:5" x14ac:dyDescent="0.3">
      <c r="A1524" s="4">
        <v>1521</v>
      </c>
      <c r="B1524" s="5">
        <v>50104.607865090577</v>
      </c>
      <c r="C1524" s="19">
        <v>-37.768805222322975</v>
      </c>
      <c r="D1524" s="5">
        <v>103227.06264120065</v>
      </c>
      <c r="E1524" s="6">
        <v>106.02309256494975</v>
      </c>
    </row>
    <row r="1525" spans="1:5" x14ac:dyDescent="0.3">
      <c r="A1525" s="4">
        <v>1522</v>
      </c>
      <c r="B1525" s="5">
        <v>59025.616471661182</v>
      </c>
      <c r="C1525" s="19">
        <v>-26.688686090293423</v>
      </c>
      <c r="D1525" s="5">
        <v>94800.221348302875</v>
      </c>
      <c r="E1525" s="6">
        <v>60.608608626421479</v>
      </c>
    </row>
    <row r="1526" spans="1:5" x14ac:dyDescent="0.3">
      <c r="A1526" s="4">
        <v>1523</v>
      </c>
      <c r="B1526" s="5">
        <v>63598.811743308681</v>
      </c>
      <c r="C1526" s="19">
        <v>-21.008661481129014</v>
      </c>
      <c r="D1526" s="5">
        <v>123578.10636480126</v>
      </c>
      <c r="E1526" s="6">
        <v>94.308829013307928</v>
      </c>
    </row>
    <row r="1527" spans="1:5" x14ac:dyDescent="0.3">
      <c r="A1527" s="4">
        <v>1524</v>
      </c>
      <c r="B1527" s="5">
        <v>46869.140538799227</v>
      </c>
      <c r="C1527" s="19">
        <v>-41.787337767700535</v>
      </c>
      <c r="D1527" s="5">
        <v>91173.011794135193</v>
      </c>
      <c r="E1527" s="6">
        <v>94.526741361216821</v>
      </c>
    </row>
    <row r="1528" spans="1:5" x14ac:dyDescent="0.3">
      <c r="A1528" s="4">
        <v>1525</v>
      </c>
      <c r="B1528" s="5">
        <v>31342.672469744572</v>
      </c>
      <c r="C1528" s="19">
        <v>-61.071605219036599</v>
      </c>
      <c r="D1528" s="5">
        <v>60425.155658032978</v>
      </c>
      <c r="E1528" s="6">
        <v>92.788779311534626</v>
      </c>
    </row>
    <row r="1529" spans="1:5" x14ac:dyDescent="0.3">
      <c r="A1529" s="4">
        <v>1526</v>
      </c>
      <c r="B1529" s="5">
        <v>66854.247723506996</v>
      </c>
      <c r="C1529" s="19">
        <v>-16.965327360733077</v>
      </c>
      <c r="D1529" s="5">
        <v>118131.72583248789</v>
      </c>
      <c r="E1529" s="6">
        <v>76.700404020776887</v>
      </c>
    </row>
    <row r="1530" spans="1:5" x14ac:dyDescent="0.3">
      <c r="A1530" s="4">
        <v>1527</v>
      </c>
      <c r="B1530" s="5">
        <v>88334.954686571829</v>
      </c>
      <c r="C1530" s="19">
        <v>9.7142559338816188</v>
      </c>
      <c r="D1530" s="5">
        <v>161416.64976129026</v>
      </c>
      <c r="E1530" s="6">
        <v>82.732475874386665</v>
      </c>
    </row>
    <row r="1531" spans="1:5" x14ac:dyDescent="0.3">
      <c r="A1531" s="4">
        <v>1528</v>
      </c>
      <c r="B1531" s="5">
        <v>47173.336213059389</v>
      </c>
      <c r="C1531" s="19">
        <v>-41.409519018846488</v>
      </c>
      <c r="D1531" s="5">
        <v>86403.252947601752</v>
      </c>
      <c r="E1531" s="6">
        <v>83.16120902994777</v>
      </c>
    </row>
    <row r="1532" spans="1:5" x14ac:dyDescent="0.3">
      <c r="A1532" s="4">
        <v>1529</v>
      </c>
      <c r="B1532" s="5">
        <v>104669.54966396898</v>
      </c>
      <c r="C1532" s="19">
        <v>30.00223751812846</v>
      </c>
      <c r="D1532" s="5">
        <v>184705.29981358882</v>
      </c>
      <c r="E1532" s="6">
        <v>76.465171013505397</v>
      </c>
    </row>
    <row r="1533" spans="1:5" x14ac:dyDescent="0.3">
      <c r="A1533" s="4">
        <v>1530</v>
      </c>
      <c r="B1533" s="5">
        <v>50703.368732533541</v>
      </c>
      <c r="C1533" s="19">
        <v>-37.025129026564237</v>
      </c>
      <c r="D1533" s="5">
        <v>97980.507064975813</v>
      </c>
      <c r="E1533" s="6">
        <v>93.242598103954293</v>
      </c>
    </row>
    <row r="1534" spans="1:5" x14ac:dyDescent="0.3">
      <c r="A1534" s="4">
        <v>1531</v>
      </c>
      <c r="B1534" s="5">
        <v>51353.187650616332</v>
      </c>
      <c r="C1534" s="19">
        <v>-36.218037435900285</v>
      </c>
      <c r="D1534" s="5">
        <v>101864.41845002792</v>
      </c>
      <c r="E1534" s="6">
        <v>98.360458445280884</v>
      </c>
    </row>
    <row r="1535" spans="1:5" x14ac:dyDescent="0.3">
      <c r="A1535" s="4">
        <v>1532</v>
      </c>
      <c r="B1535" s="5">
        <v>61686.640217582273</v>
      </c>
      <c r="C1535" s="19">
        <v>-23.383627052882677</v>
      </c>
      <c r="D1535" s="5">
        <v>113213.82819809977</v>
      </c>
      <c r="E1535" s="6">
        <v>83.53054696895444</v>
      </c>
    </row>
    <row r="1536" spans="1:5" x14ac:dyDescent="0.3">
      <c r="A1536" s="4">
        <v>1533</v>
      </c>
      <c r="B1536" s="5">
        <v>57825.353305750832</v>
      </c>
      <c r="C1536" s="19">
        <v>-28.179443408729192</v>
      </c>
      <c r="D1536" s="5">
        <v>111874.38974446725</v>
      </c>
      <c r="E1536" s="6">
        <v>93.469444367996886</v>
      </c>
    </row>
    <row r="1537" spans="1:5" x14ac:dyDescent="0.3">
      <c r="A1537" s="4">
        <v>1534</v>
      </c>
      <c r="B1537" s="5">
        <v>29339.396642100084</v>
      </c>
      <c r="C1537" s="19">
        <v>-63.559724646280237</v>
      </c>
      <c r="D1537" s="5">
        <v>60795.385355922328</v>
      </c>
      <c r="E1537" s="6">
        <v>107.21416359559687</v>
      </c>
    </row>
    <row r="1538" spans="1:5" x14ac:dyDescent="0.3">
      <c r="A1538" s="4">
        <v>1535</v>
      </c>
      <c r="B1538" s="5">
        <v>57535.685952621971</v>
      </c>
      <c r="C1538" s="19">
        <v>-28.539217613964635</v>
      </c>
      <c r="D1538" s="5">
        <v>104842.17741008574</v>
      </c>
      <c r="E1538" s="6">
        <v>82.221130545690414</v>
      </c>
    </row>
    <row r="1539" spans="1:5" x14ac:dyDescent="0.3">
      <c r="A1539" s="4">
        <v>1536</v>
      </c>
      <c r="B1539" s="5">
        <v>73995.562899438417</v>
      </c>
      <c r="C1539" s="19">
        <v>-8.0956326436568666</v>
      </c>
      <c r="D1539" s="5">
        <v>124925.38606413173</v>
      </c>
      <c r="E1539" s="6">
        <v>68.828212353635394</v>
      </c>
    </row>
    <row r="1540" spans="1:5" x14ac:dyDescent="0.3">
      <c r="A1540" s="4">
        <v>1537</v>
      </c>
      <c r="B1540" s="5">
        <v>72027.895864837352</v>
      </c>
      <c r="C1540" s="19">
        <v>-10.539525046079756</v>
      </c>
      <c r="D1540" s="5">
        <v>128249.70240808395</v>
      </c>
      <c r="E1540" s="6">
        <v>78.055600358989537</v>
      </c>
    </row>
    <row r="1541" spans="1:5" x14ac:dyDescent="0.3">
      <c r="A1541" s="4">
        <v>1538</v>
      </c>
      <c r="B1541" s="5">
        <v>63232.070314988145</v>
      </c>
      <c r="C1541" s="19">
        <v>-21.464163644129876</v>
      </c>
      <c r="D1541" s="5">
        <v>133919.69983985269</v>
      </c>
      <c r="E1541" s="6">
        <v>111.79078776439997</v>
      </c>
    </row>
    <row r="1542" spans="1:5" x14ac:dyDescent="0.3">
      <c r="A1542" s="4">
        <v>1539</v>
      </c>
      <c r="B1542" s="5">
        <v>105115.64676872738</v>
      </c>
      <c r="C1542" s="19">
        <v>30.556301445556578</v>
      </c>
      <c r="D1542" s="5">
        <v>211912.34766481625</v>
      </c>
      <c r="E1542" s="6">
        <v>101.59924252862191</v>
      </c>
    </row>
    <row r="1543" spans="1:5" x14ac:dyDescent="0.3">
      <c r="A1543" s="4">
        <v>1540</v>
      </c>
      <c r="B1543" s="5">
        <v>47315.631247578276</v>
      </c>
      <c r="C1543" s="19">
        <v>-41.232784974087892</v>
      </c>
      <c r="D1543" s="5">
        <v>91955.902956314821</v>
      </c>
      <c r="E1543" s="6">
        <v>94.345717327867916</v>
      </c>
    </row>
    <row r="1544" spans="1:5" x14ac:dyDescent="0.3">
      <c r="A1544" s="4">
        <v>1541</v>
      </c>
      <c r="B1544" s="5">
        <v>72385.56081388543</v>
      </c>
      <c r="C1544" s="19">
        <v>-10.095296100724282</v>
      </c>
      <c r="D1544" s="5">
        <v>130083.67583178138</v>
      </c>
      <c r="E1544" s="6">
        <v>79.70942598102792</v>
      </c>
    </row>
    <row r="1545" spans="1:5" x14ac:dyDescent="0.3">
      <c r="A1545" s="4">
        <v>1542</v>
      </c>
      <c r="B1545" s="5">
        <v>120537.30225395582</v>
      </c>
      <c r="C1545" s="19">
        <v>49.71038900731434</v>
      </c>
      <c r="D1545" s="5">
        <v>196060.08240868672</v>
      </c>
      <c r="E1545" s="6">
        <v>62.655110693961447</v>
      </c>
    </row>
    <row r="1546" spans="1:5" x14ac:dyDescent="0.3">
      <c r="A1546" s="4">
        <v>1543</v>
      </c>
      <c r="B1546" s="5">
        <v>73843.519955016047</v>
      </c>
      <c r="C1546" s="19">
        <v>-8.2844738399475641</v>
      </c>
      <c r="D1546" s="5">
        <v>133993.70491840123</v>
      </c>
      <c r="E1546" s="6">
        <v>81.456280794885501</v>
      </c>
    </row>
    <row r="1547" spans="1:5" x14ac:dyDescent="0.3">
      <c r="A1547" s="4">
        <v>1544</v>
      </c>
      <c r="B1547" s="5">
        <v>80584.485439574652</v>
      </c>
      <c r="C1547" s="19">
        <v>8.797639833564716E-2</v>
      </c>
      <c r="D1547" s="5">
        <v>158745.06528095141</v>
      </c>
      <c r="E1547" s="6">
        <v>96.992093968242273</v>
      </c>
    </row>
    <row r="1548" spans="1:5" x14ac:dyDescent="0.3">
      <c r="A1548" s="4">
        <v>1545</v>
      </c>
      <c r="B1548" s="5">
        <v>30561.043180990826</v>
      </c>
      <c r="C1548" s="19">
        <v>-62.042408635826959</v>
      </c>
      <c r="D1548" s="5">
        <v>58120.728500294099</v>
      </c>
      <c r="E1548" s="6">
        <v>90.179138048682788</v>
      </c>
    </row>
    <row r="1549" spans="1:5" x14ac:dyDescent="0.3">
      <c r="A1549" s="4">
        <v>1546</v>
      </c>
      <c r="B1549" s="5">
        <v>48744.719001738798</v>
      </c>
      <c r="C1549" s="19">
        <v>-39.457821708772734</v>
      </c>
      <c r="D1549" s="5">
        <v>89241.39305114164</v>
      </c>
      <c r="E1549" s="6">
        <v>83.079100421028713</v>
      </c>
    </row>
    <row r="1550" spans="1:5" x14ac:dyDescent="0.3">
      <c r="A1550" s="4">
        <v>1547</v>
      </c>
      <c r="B1550" s="5">
        <v>56625.789944770731</v>
      </c>
      <c r="C1550" s="19">
        <v>-29.66933155167839</v>
      </c>
      <c r="D1550" s="5">
        <v>107735.34838484459</v>
      </c>
      <c r="E1550" s="6">
        <v>90.258446707627286</v>
      </c>
    </row>
    <row r="1551" spans="1:5" x14ac:dyDescent="0.3">
      <c r="A1551" s="4">
        <v>1548</v>
      </c>
      <c r="B1551" s="5">
        <v>49164.6705973016</v>
      </c>
      <c r="C1551" s="19">
        <v>-38.936231167419088</v>
      </c>
      <c r="D1551" s="5">
        <v>95269.51970125323</v>
      </c>
      <c r="E1551" s="6">
        <v>93.776381584222577</v>
      </c>
    </row>
    <row r="1552" spans="1:5" x14ac:dyDescent="0.3">
      <c r="A1552" s="4">
        <v>1549</v>
      </c>
      <c r="B1552" s="5">
        <v>87276.843616448474</v>
      </c>
      <c r="C1552" s="19">
        <v>8.400055126671214</v>
      </c>
      <c r="D1552" s="5">
        <v>179266.19630459018</v>
      </c>
      <c r="E1552" s="6">
        <v>105.39949530301884</v>
      </c>
    </row>
    <row r="1553" spans="1:5" x14ac:dyDescent="0.3">
      <c r="A1553" s="4">
        <v>1550</v>
      </c>
      <c r="B1553" s="5">
        <v>91207.810243964268</v>
      </c>
      <c r="C1553" s="19">
        <v>13.282415458083447</v>
      </c>
      <c r="D1553" s="5">
        <v>179760.36629485348</v>
      </c>
      <c r="E1553" s="6">
        <v>97.088786381371577</v>
      </c>
    </row>
    <row r="1554" spans="1:5" x14ac:dyDescent="0.3">
      <c r="A1554" s="4">
        <v>1551</v>
      </c>
      <c r="B1554" s="5">
        <v>50939.563735244403</v>
      </c>
      <c r="C1554" s="19">
        <v>-36.73176883784086</v>
      </c>
      <c r="D1554" s="5">
        <v>98583.920122048177</v>
      </c>
      <c r="E1554" s="6">
        <v>93.531143365170365</v>
      </c>
    </row>
    <row r="1555" spans="1:5" x14ac:dyDescent="0.3">
      <c r="A1555" s="4">
        <v>1552</v>
      </c>
      <c r="B1555" s="5">
        <v>110604.22637554687</v>
      </c>
      <c r="C1555" s="19">
        <v>37.373256634277766</v>
      </c>
      <c r="D1555" s="5">
        <v>205531.27691449091</v>
      </c>
      <c r="E1555" s="6">
        <v>85.825879941176595</v>
      </c>
    </row>
    <row r="1556" spans="1:5" x14ac:dyDescent="0.3">
      <c r="A1556" s="4">
        <v>1553</v>
      </c>
      <c r="B1556" s="5">
        <v>41010.413629602786</v>
      </c>
      <c r="C1556" s="19">
        <v>-49.064025301452226</v>
      </c>
      <c r="D1556" s="5">
        <v>76070.722530625164</v>
      </c>
      <c r="E1556" s="6">
        <v>85.491234537840882</v>
      </c>
    </row>
    <row r="1557" spans="1:5" x14ac:dyDescent="0.3">
      <c r="A1557" s="4">
        <v>1554</v>
      </c>
      <c r="B1557" s="5">
        <v>79384.040172868859</v>
      </c>
      <c r="C1557" s="19">
        <v>-1.4030070939103418</v>
      </c>
      <c r="D1557" s="5">
        <v>154500.7587616847</v>
      </c>
      <c r="E1557" s="6">
        <v>94.624459054036066</v>
      </c>
    </row>
    <row r="1558" spans="1:5" x14ac:dyDescent="0.3">
      <c r="A1558" s="4">
        <v>1555</v>
      </c>
      <c r="B1558" s="5">
        <v>50176.948312657398</v>
      </c>
      <c r="C1558" s="19">
        <v>-37.678956550221663</v>
      </c>
      <c r="D1558" s="5">
        <v>102544.53211337836</v>
      </c>
      <c r="E1558" s="6">
        <v>104.36582048476424</v>
      </c>
    </row>
    <row r="1559" spans="1:5" x14ac:dyDescent="0.3">
      <c r="A1559" s="4">
        <v>1556</v>
      </c>
      <c r="B1559" s="5">
        <v>66009.627749466745</v>
      </c>
      <c r="C1559" s="19">
        <v>-18.014366807546846</v>
      </c>
      <c r="D1559" s="5">
        <v>127998.6551340953</v>
      </c>
      <c r="E1559" s="6">
        <v>93.909069779793342</v>
      </c>
    </row>
    <row r="1560" spans="1:5" x14ac:dyDescent="0.3">
      <c r="A1560" s="4">
        <v>1557</v>
      </c>
      <c r="B1560" s="5">
        <v>82294.436403820582</v>
      </c>
      <c r="C1560" s="19">
        <v>2.2117788997500107</v>
      </c>
      <c r="D1560" s="5">
        <v>167653.12000713137</v>
      </c>
      <c r="E1560" s="6">
        <v>103.72351684195742</v>
      </c>
    </row>
    <row r="1561" spans="1:5" x14ac:dyDescent="0.3">
      <c r="A1561" s="4">
        <v>1558</v>
      </c>
      <c r="B1561" s="5">
        <v>43161.405994155604</v>
      </c>
      <c r="C1561" s="19">
        <v>-46.392438185867867</v>
      </c>
      <c r="D1561" s="5">
        <v>92095.36762733043</v>
      </c>
      <c r="E1561" s="6">
        <v>113.3743456823461</v>
      </c>
    </row>
    <row r="1562" spans="1:5" x14ac:dyDescent="0.3">
      <c r="A1562" s="4">
        <v>1559</v>
      </c>
      <c r="B1562" s="5">
        <v>68811.489395340803</v>
      </c>
      <c r="C1562" s="19">
        <v>-14.534383523494935</v>
      </c>
      <c r="D1562" s="5">
        <v>120406.15592787624</v>
      </c>
      <c r="E1562" s="6">
        <v>74.979726475777881</v>
      </c>
    </row>
    <row r="1563" spans="1:5" x14ac:dyDescent="0.3">
      <c r="A1563" s="4">
        <v>1560</v>
      </c>
      <c r="B1563" s="5">
        <v>63201.960315139164</v>
      </c>
      <c r="C1563" s="19">
        <v>-21.501561028226824</v>
      </c>
      <c r="D1563" s="5">
        <v>113045.21862283723</v>
      </c>
      <c r="E1563" s="6">
        <v>78.863468884775713</v>
      </c>
    </row>
    <row r="1564" spans="1:5" x14ac:dyDescent="0.3">
      <c r="A1564" s="4">
        <v>1561</v>
      </c>
      <c r="B1564" s="5">
        <v>64144.886976236696</v>
      </c>
      <c r="C1564" s="19">
        <v>-20.330422180761481</v>
      </c>
      <c r="D1564" s="5">
        <v>106973.60600657831</v>
      </c>
      <c r="E1564" s="6">
        <v>66.76871852032113</v>
      </c>
    </row>
    <row r="1565" spans="1:5" x14ac:dyDescent="0.3">
      <c r="A1565" s="4">
        <v>1562</v>
      </c>
      <c r="B1565" s="5">
        <v>60219.516097743726</v>
      </c>
      <c r="C1565" s="19">
        <v>-25.205832449850025</v>
      </c>
      <c r="D1565" s="5">
        <v>125236.44799422238</v>
      </c>
      <c r="E1565" s="6">
        <v>107.96654657760473</v>
      </c>
    </row>
    <row r="1566" spans="1:5" x14ac:dyDescent="0.3">
      <c r="A1566" s="4">
        <v>1563</v>
      </c>
      <c r="B1566" s="5">
        <v>98002.680352974421</v>
      </c>
      <c r="C1566" s="19">
        <v>21.721816608200839</v>
      </c>
      <c r="D1566" s="5">
        <v>189751.19508735932</v>
      </c>
      <c r="E1566" s="6">
        <v>93.618372889329137</v>
      </c>
    </row>
    <row r="1567" spans="1:5" x14ac:dyDescent="0.3">
      <c r="A1567" s="4">
        <v>1564</v>
      </c>
      <c r="B1567" s="5">
        <v>45996.289566423649</v>
      </c>
      <c r="C1567" s="19">
        <v>-42.871440831036445</v>
      </c>
      <c r="D1567" s="5">
        <v>88617.548907335746</v>
      </c>
      <c r="E1567" s="6">
        <v>92.662385906937899</v>
      </c>
    </row>
    <row r="1568" spans="1:5" x14ac:dyDescent="0.3">
      <c r="A1568" s="4">
        <v>1565</v>
      </c>
      <c r="B1568" s="5">
        <v>60990.730047674944</v>
      </c>
      <c r="C1568" s="19">
        <v>-24.247965148250607</v>
      </c>
      <c r="D1568" s="5">
        <v>120798.03384082639</v>
      </c>
      <c r="E1568" s="6">
        <v>98.059662093569884</v>
      </c>
    </row>
    <row r="1569" spans="1:5" x14ac:dyDescent="0.3">
      <c r="A1569" s="4">
        <v>1566</v>
      </c>
      <c r="B1569" s="5">
        <v>56507.183213767385</v>
      </c>
      <c r="C1569" s="19">
        <v>-29.816644122188606</v>
      </c>
      <c r="D1569" s="5">
        <v>123145.30350190427</v>
      </c>
      <c r="E1569" s="6">
        <v>117.92858270079405</v>
      </c>
    </row>
    <row r="1570" spans="1:5" x14ac:dyDescent="0.3">
      <c r="A1570" s="4">
        <v>1567</v>
      </c>
      <c r="B1570" s="5">
        <v>55994.398773863832</v>
      </c>
      <c r="C1570" s="19">
        <v>-30.453535412596921</v>
      </c>
      <c r="D1570" s="5">
        <v>115560.68706969976</v>
      </c>
      <c r="E1570" s="6">
        <v>106.37901218726779</v>
      </c>
    </row>
    <row r="1571" spans="1:5" x14ac:dyDescent="0.3">
      <c r="A1571" s="4">
        <v>1568</v>
      </c>
      <c r="B1571" s="5">
        <v>46217.366379305102</v>
      </c>
      <c r="C1571" s="19">
        <v>-42.596857817827413</v>
      </c>
      <c r="D1571" s="5">
        <v>84773.895087399898</v>
      </c>
      <c r="E1571" s="6">
        <v>83.424331000736942</v>
      </c>
    </row>
    <row r="1572" spans="1:5" x14ac:dyDescent="0.3">
      <c r="A1572" s="4">
        <v>1569</v>
      </c>
      <c r="B1572" s="5">
        <v>91079.54185516591</v>
      </c>
      <c r="C1572" s="19">
        <v>13.123102863349201</v>
      </c>
      <c r="D1572" s="5">
        <v>173085.73574555523</v>
      </c>
      <c r="E1572" s="6">
        <v>90.037995602563555</v>
      </c>
    </row>
    <row r="1573" spans="1:5" x14ac:dyDescent="0.3">
      <c r="A1573" s="4">
        <v>1570</v>
      </c>
      <c r="B1573" s="5">
        <v>41391.499124117472</v>
      </c>
      <c r="C1573" s="19">
        <v>-48.590707444141657</v>
      </c>
      <c r="D1573" s="5">
        <v>69686.821945714531</v>
      </c>
      <c r="E1573" s="6">
        <v>68.360227148937213</v>
      </c>
    </row>
    <row r="1574" spans="1:5" x14ac:dyDescent="0.3">
      <c r="A1574" s="4">
        <v>1571</v>
      </c>
      <c r="B1574" s="5">
        <v>78509.234945988967</v>
      </c>
      <c r="C1574" s="19">
        <v>-2.4895373909456113</v>
      </c>
      <c r="D1574" s="5">
        <v>131560.64085259126</v>
      </c>
      <c r="E1574" s="6">
        <v>67.573459279152843</v>
      </c>
    </row>
    <row r="1575" spans="1:5" x14ac:dyDescent="0.3">
      <c r="A1575" s="4">
        <v>1572</v>
      </c>
      <c r="B1575" s="5">
        <v>68560.599358941399</v>
      </c>
      <c r="C1575" s="19">
        <v>-14.845995317064681</v>
      </c>
      <c r="D1575" s="5">
        <v>115629.0047332823</v>
      </c>
      <c r="E1575" s="6">
        <v>68.65226648314362</v>
      </c>
    </row>
    <row r="1576" spans="1:5" x14ac:dyDescent="0.3">
      <c r="A1576" s="4">
        <v>1573</v>
      </c>
      <c r="B1576" s="5">
        <v>48558.301937642747</v>
      </c>
      <c r="C1576" s="19">
        <v>-39.68935643421915</v>
      </c>
      <c r="D1576" s="5">
        <v>90900.286092791517</v>
      </c>
      <c r="E1576" s="6">
        <v>87.19823895309024</v>
      </c>
    </row>
    <row r="1577" spans="1:5" x14ac:dyDescent="0.3">
      <c r="A1577" s="4">
        <v>1574</v>
      </c>
      <c r="B1577" s="5">
        <v>88871.368682231609</v>
      </c>
      <c r="C1577" s="19">
        <v>10.380495732330051</v>
      </c>
      <c r="D1577" s="5">
        <v>160658.93836563075</v>
      </c>
      <c r="E1577" s="6">
        <v>80.776937215947143</v>
      </c>
    </row>
    <row r="1578" spans="1:5" x14ac:dyDescent="0.3">
      <c r="A1578" s="4">
        <v>1575</v>
      </c>
      <c r="B1578" s="5">
        <v>130234.34581629396</v>
      </c>
      <c r="C1578" s="19">
        <v>61.754363252564005</v>
      </c>
      <c r="D1578" s="5">
        <v>209318.55480463471</v>
      </c>
      <c r="E1578" s="6">
        <v>60.724541205048467</v>
      </c>
    </row>
    <row r="1579" spans="1:5" x14ac:dyDescent="0.3">
      <c r="A1579" s="4">
        <v>1576</v>
      </c>
      <c r="B1579" s="5">
        <v>90253.926695961287</v>
      </c>
      <c r="C1579" s="19">
        <v>12.097667878962005</v>
      </c>
      <c r="D1579" s="5">
        <v>165402.08635796548</v>
      </c>
      <c r="E1579" s="6">
        <v>83.263036205788652</v>
      </c>
    </row>
    <row r="1580" spans="1:5" x14ac:dyDescent="0.3">
      <c r="A1580" s="4">
        <v>1577</v>
      </c>
      <c r="B1580" s="5">
        <v>53712.138901552767</v>
      </c>
      <c r="C1580" s="19">
        <v>-33.288160104790578</v>
      </c>
      <c r="D1580" s="5">
        <v>95097.10265381854</v>
      </c>
      <c r="E1580" s="6">
        <v>77.049554530157366</v>
      </c>
    </row>
    <row r="1581" spans="1:5" x14ac:dyDescent="0.3">
      <c r="A1581" s="4">
        <v>1578</v>
      </c>
      <c r="B1581" s="5">
        <v>59153.573391676582</v>
      </c>
      <c r="C1581" s="19">
        <v>-26.529760347693649</v>
      </c>
      <c r="D1581" s="5">
        <v>84435.701468094703</v>
      </c>
      <c r="E1581" s="6">
        <v>42.739815410670587</v>
      </c>
    </row>
    <row r="1582" spans="1:5" x14ac:dyDescent="0.3">
      <c r="A1582" s="4">
        <v>1579</v>
      </c>
      <c r="B1582" s="5">
        <v>64884.583879548074</v>
      </c>
      <c r="C1582" s="19">
        <v>-19.411699851063595</v>
      </c>
      <c r="D1582" s="5">
        <v>120388.89473056582</v>
      </c>
      <c r="E1582" s="6">
        <v>85.543140654267134</v>
      </c>
    </row>
    <row r="1583" spans="1:5" x14ac:dyDescent="0.3">
      <c r="A1583" s="4">
        <v>1580</v>
      </c>
      <c r="B1583" s="5">
        <v>76646.462640441692</v>
      </c>
      <c r="C1583" s="19">
        <v>-4.8031478773324681</v>
      </c>
      <c r="D1583" s="5">
        <v>151852.2604328391</v>
      </c>
      <c r="E1583" s="6">
        <v>98.120376598718423</v>
      </c>
    </row>
    <row r="1584" spans="1:5" x14ac:dyDescent="0.3">
      <c r="A1584" s="4">
        <v>1581</v>
      </c>
      <c r="B1584" s="5">
        <v>57950.62641926021</v>
      </c>
      <c r="C1584" s="19">
        <v>-28.023851021933172</v>
      </c>
      <c r="D1584" s="5">
        <v>97228.849552524494</v>
      </c>
      <c r="E1584" s="6">
        <v>67.778772310578432</v>
      </c>
    </row>
    <row r="1585" spans="1:5" x14ac:dyDescent="0.3">
      <c r="A1585" s="4">
        <v>1582</v>
      </c>
      <c r="B1585" s="5">
        <v>113885.81616711934</v>
      </c>
      <c r="C1585" s="19">
        <v>41.449074452264661</v>
      </c>
      <c r="D1585" s="5">
        <v>190586.57510234328</v>
      </c>
      <c r="E1585" s="6">
        <v>67.348824916591042</v>
      </c>
    </row>
    <row r="1586" spans="1:5" x14ac:dyDescent="0.3">
      <c r="A1586" s="4">
        <v>1583</v>
      </c>
      <c r="B1586" s="5">
        <v>93545.827106999655</v>
      </c>
      <c r="C1586" s="19">
        <v>16.186291748040826</v>
      </c>
      <c r="D1586" s="5">
        <v>158708.55891192739</v>
      </c>
      <c r="E1586" s="6">
        <v>69.658619545255888</v>
      </c>
    </row>
    <row r="1587" spans="1:5" x14ac:dyDescent="0.3">
      <c r="A1587" s="4">
        <v>1584</v>
      </c>
      <c r="B1587" s="5">
        <v>83856.220906296046</v>
      </c>
      <c r="C1587" s="19">
        <v>4.1515548947244065</v>
      </c>
      <c r="D1587" s="5">
        <v>148859.22417157146</v>
      </c>
      <c r="E1587" s="6">
        <v>77.517210485686093</v>
      </c>
    </row>
    <row r="1588" spans="1:5" x14ac:dyDescent="0.3">
      <c r="A1588" s="4">
        <v>1585</v>
      </c>
      <c r="B1588" s="5">
        <v>53675.863304206243</v>
      </c>
      <c r="C1588" s="19">
        <v>-33.333215317481319</v>
      </c>
      <c r="D1588" s="5">
        <v>105327.82735698149</v>
      </c>
      <c r="E1588" s="6">
        <v>96.229405310240452</v>
      </c>
    </row>
    <row r="1589" spans="1:5" x14ac:dyDescent="0.3">
      <c r="A1589" s="4">
        <v>1586</v>
      </c>
      <c r="B1589" s="5">
        <v>118290.96877815276</v>
      </c>
      <c r="C1589" s="19">
        <v>46.920385811506208</v>
      </c>
      <c r="D1589" s="5">
        <v>228359.20301853749</v>
      </c>
      <c r="E1589" s="6">
        <v>93.048721620338355</v>
      </c>
    </row>
    <row r="1590" spans="1:5" x14ac:dyDescent="0.3">
      <c r="A1590" s="4">
        <v>1587</v>
      </c>
      <c r="B1590" s="5">
        <v>67966.939760520632</v>
      </c>
      <c r="C1590" s="19">
        <v>-15.583335607211934</v>
      </c>
      <c r="D1590" s="5">
        <v>121635.63332703555</v>
      </c>
      <c r="E1590" s="6">
        <v>78.962939563874528</v>
      </c>
    </row>
    <row r="1591" spans="1:5" x14ac:dyDescent="0.3">
      <c r="A1591" s="4">
        <v>1588</v>
      </c>
      <c r="B1591" s="5">
        <v>64604.833131904736</v>
      </c>
      <c r="C1591" s="19">
        <v>-19.759157380572034</v>
      </c>
      <c r="D1591" s="5">
        <v>113452.20124253246</v>
      </c>
      <c r="E1591" s="6">
        <v>75.60946409519434</v>
      </c>
    </row>
    <row r="1592" spans="1:5" x14ac:dyDescent="0.3">
      <c r="A1592" s="4">
        <v>1589</v>
      </c>
      <c r="B1592" s="5">
        <v>131886.58696407892</v>
      </c>
      <c r="C1592" s="19">
        <v>63.806488697080987</v>
      </c>
      <c r="D1592" s="5">
        <v>215264.63070137869</v>
      </c>
      <c r="E1592" s="6">
        <v>63.219502192447287</v>
      </c>
    </row>
    <row r="1593" spans="1:5" x14ac:dyDescent="0.3">
      <c r="A1593" s="4">
        <v>1590</v>
      </c>
      <c r="B1593" s="5">
        <v>75586.485534338964</v>
      </c>
      <c r="C1593" s="19">
        <v>-6.1196663485949916</v>
      </c>
      <c r="D1593" s="5">
        <v>134746.11390441217</v>
      </c>
      <c r="E1593" s="6">
        <v>78.267467989627534</v>
      </c>
    </row>
    <row r="1594" spans="1:5" x14ac:dyDescent="0.3">
      <c r="A1594" s="4">
        <v>1591</v>
      </c>
      <c r="B1594" s="5">
        <v>36811.974678143692</v>
      </c>
      <c r="C1594" s="19">
        <v>-54.278593048473248</v>
      </c>
      <c r="D1594" s="5">
        <v>67621.742191294907</v>
      </c>
      <c r="E1594" s="6">
        <v>83.694960084398417</v>
      </c>
    </row>
    <row r="1595" spans="1:5" x14ac:dyDescent="0.3">
      <c r="A1595" s="4">
        <v>1592</v>
      </c>
      <c r="B1595" s="5">
        <v>25599.308532726765</v>
      </c>
      <c r="C1595" s="19">
        <v>-68.205009013074957</v>
      </c>
      <c r="D1595" s="5">
        <v>45449.986695822314</v>
      </c>
      <c r="E1595" s="6">
        <v>77.543806066941102</v>
      </c>
    </row>
    <row r="1596" spans="1:5" x14ac:dyDescent="0.3">
      <c r="A1596" s="4">
        <v>1593</v>
      </c>
      <c r="B1596" s="5">
        <v>73881.460986177699</v>
      </c>
      <c r="C1596" s="19">
        <v>-8.2373501161845919</v>
      </c>
      <c r="D1596" s="5">
        <v>134983.96764566714</v>
      </c>
      <c r="E1596" s="6">
        <v>82.703435806339783</v>
      </c>
    </row>
    <row r="1597" spans="1:5" x14ac:dyDescent="0.3">
      <c r="A1597" s="4">
        <v>1594</v>
      </c>
      <c r="B1597" s="5">
        <v>57188.927955711326</v>
      </c>
      <c r="C1597" s="19">
        <v>-28.969899847913389</v>
      </c>
      <c r="D1597" s="5">
        <v>120769.44473702341</v>
      </c>
      <c r="E1597" s="6">
        <v>111.17626969778239</v>
      </c>
    </row>
    <row r="1598" spans="1:5" x14ac:dyDescent="0.3">
      <c r="A1598" s="4">
        <v>1595</v>
      </c>
      <c r="B1598" s="5">
        <v>57193.68837206404</v>
      </c>
      <c r="C1598" s="19">
        <v>-28.963987289969289</v>
      </c>
      <c r="D1598" s="5">
        <v>112498.30310194065</v>
      </c>
      <c r="E1598" s="6">
        <v>96.69705924559652</v>
      </c>
    </row>
    <row r="1599" spans="1:5" x14ac:dyDescent="0.3">
      <c r="A1599" s="4">
        <v>1596</v>
      </c>
      <c r="B1599" s="5">
        <v>75046.491647789488</v>
      </c>
      <c r="C1599" s="19">
        <v>-6.7903524623970837</v>
      </c>
      <c r="D1599" s="5">
        <v>153761.74219398186</v>
      </c>
      <c r="E1599" s="6">
        <v>104.88864811378687</v>
      </c>
    </row>
    <row r="1600" spans="1:5" x14ac:dyDescent="0.3">
      <c r="A1600" s="4">
        <v>1597</v>
      </c>
      <c r="B1600" s="5">
        <v>85368.94412282086</v>
      </c>
      <c r="C1600" s="19">
        <v>6.0303955272215823</v>
      </c>
      <c r="D1600" s="5">
        <v>155397.41378651469</v>
      </c>
      <c r="E1600" s="6">
        <v>82.030380465926129</v>
      </c>
    </row>
    <row r="1601" spans="1:5" x14ac:dyDescent="0.3">
      <c r="A1601" s="4">
        <v>1598</v>
      </c>
      <c r="B1601" s="5">
        <v>61444.776200468332</v>
      </c>
      <c r="C1601" s="19">
        <v>-23.68402830139172</v>
      </c>
      <c r="D1601" s="5">
        <v>104652.97803705711</v>
      </c>
      <c r="E1601" s="6">
        <v>70.320382802955749</v>
      </c>
    </row>
    <row r="1602" spans="1:5" x14ac:dyDescent="0.3">
      <c r="A1602" s="4">
        <v>1599</v>
      </c>
      <c r="B1602" s="5">
        <v>81609.019900785497</v>
      </c>
      <c r="C1602" s="19">
        <v>1.3604742049989875</v>
      </c>
      <c r="D1602" s="5">
        <v>158198.98885971418</v>
      </c>
      <c r="E1602" s="6">
        <v>93.849882098867724</v>
      </c>
    </row>
    <row r="1603" spans="1:5" x14ac:dyDescent="0.3">
      <c r="A1603" s="4">
        <v>1600</v>
      </c>
      <c r="B1603" s="5">
        <v>51448.529656622486</v>
      </c>
      <c r="C1603" s="19">
        <v>-36.099620244366939</v>
      </c>
      <c r="D1603" s="5">
        <v>90031.907445102668</v>
      </c>
      <c r="E1603" s="6">
        <v>74.99413111704682</v>
      </c>
    </row>
    <row r="1604" spans="1:5" x14ac:dyDescent="0.3">
      <c r="A1604" s="4">
        <v>1601</v>
      </c>
      <c r="B1604" s="5">
        <v>40010.061916789171</v>
      </c>
      <c r="C1604" s="19">
        <v>-50.30648752077358</v>
      </c>
      <c r="D1604" s="5">
        <v>78399.262942302186</v>
      </c>
      <c r="E1604" s="6">
        <v>95.948866825932086</v>
      </c>
    </row>
    <row r="1605" spans="1:5" x14ac:dyDescent="0.3">
      <c r="A1605" s="4">
        <v>1602</v>
      </c>
      <c r="B1605" s="5">
        <v>40095.180790456026</v>
      </c>
      <c r="C1605" s="19">
        <v>-50.200767719100227</v>
      </c>
      <c r="D1605" s="5">
        <v>88018.127411292488</v>
      </c>
      <c r="E1605" s="6">
        <v>119.52295930847554</v>
      </c>
    </row>
    <row r="1606" spans="1:5" x14ac:dyDescent="0.3">
      <c r="A1606" s="4">
        <v>1603</v>
      </c>
      <c r="B1606" s="5">
        <v>55940.788515171742</v>
      </c>
      <c r="C1606" s="19">
        <v>-30.520120714685945</v>
      </c>
      <c r="D1606" s="5">
        <v>102460.05453652957</v>
      </c>
      <c r="E1606" s="6">
        <v>83.158044883012877</v>
      </c>
    </row>
    <row r="1607" spans="1:5" x14ac:dyDescent="0.3">
      <c r="A1607" s="4">
        <v>1604</v>
      </c>
      <c r="B1607" s="5">
        <v>54821.980450964889</v>
      </c>
      <c r="C1607" s="19">
        <v>-31.909708729224661</v>
      </c>
      <c r="D1607" s="5">
        <v>107071.03841686813</v>
      </c>
      <c r="E1607" s="6">
        <v>95.306768445983124</v>
      </c>
    </row>
    <row r="1608" spans="1:5" x14ac:dyDescent="0.3">
      <c r="A1608" s="4">
        <v>1605</v>
      </c>
      <c r="B1608" s="5">
        <v>57447.71930996421</v>
      </c>
      <c r="C1608" s="19">
        <v>-28.64847441700984</v>
      </c>
      <c r="D1608" s="5">
        <v>97808.195718459945</v>
      </c>
      <c r="E1608" s="6">
        <v>70.256011715151374</v>
      </c>
    </row>
    <row r="1609" spans="1:5" x14ac:dyDescent="0.3">
      <c r="A1609" s="4">
        <v>1606</v>
      </c>
      <c r="B1609" s="5">
        <v>81039.80320461707</v>
      </c>
      <c r="C1609" s="19">
        <v>0.65349261988526597</v>
      </c>
      <c r="D1609" s="5">
        <v>133421.7108564048</v>
      </c>
      <c r="E1609" s="6">
        <v>64.637259199073895</v>
      </c>
    </row>
    <row r="1610" spans="1:5" x14ac:dyDescent="0.3">
      <c r="A1610" s="4">
        <v>1607</v>
      </c>
      <c r="B1610" s="5">
        <v>61694.933600218195</v>
      </c>
      <c r="C1610" s="19">
        <v>-23.373326461137271</v>
      </c>
      <c r="D1610" s="5">
        <v>106090.48457665312</v>
      </c>
      <c r="E1610" s="6">
        <v>71.959800239217557</v>
      </c>
    </row>
    <row r="1611" spans="1:5" x14ac:dyDescent="0.3">
      <c r="A1611" s="4">
        <v>1608</v>
      </c>
      <c r="B1611" s="5">
        <v>71887.577451732432</v>
      </c>
      <c r="C1611" s="19">
        <v>-10.713804076869474</v>
      </c>
      <c r="D1611" s="5">
        <v>119185.99813114665</v>
      </c>
      <c r="E1611" s="6">
        <v>65.794984830545815</v>
      </c>
    </row>
    <row r="1612" spans="1:5" x14ac:dyDescent="0.3">
      <c r="A1612" s="4">
        <v>1609</v>
      </c>
      <c r="B1612" s="5">
        <v>58891.316840289466</v>
      </c>
      <c r="C1612" s="19">
        <v>-26.855489641395287</v>
      </c>
      <c r="D1612" s="5">
        <v>135360.41302779911</v>
      </c>
      <c r="E1612" s="6">
        <v>129.84782866188965</v>
      </c>
    </row>
    <row r="1613" spans="1:5" x14ac:dyDescent="0.3">
      <c r="A1613" s="4">
        <v>1610</v>
      </c>
      <c r="B1613" s="5">
        <v>70115.478484058956</v>
      </c>
      <c r="C1613" s="19">
        <v>-12.914795976048547</v>
      </c>
      <c r="D1613" s="5">
        <v>129952.56016282897</v>
      </c>
      <c r="E1613" s="6">
        <v>85.340759233889031</v>
      </c>
    </row>
    <row r="1614" spans="1:5" x14ac:dyDescent="0.3">
      <c r="A1614" s="4">
        <v>1611</v>
      </c>
      <c r="B1614" s="5">
        <v>61727.513223491682</v>
      </c>
      <c r="C1614" s="19">
        <v>-23.332861742060444</v>
      </c>
      <c r="D1614" s="5">
        <v>87008.877322141707</v>
      </c>
      <c r="E1614" s="6">
        <v>40.956394933837508</v>
      </c>
    </row>
    <row r="1615" spans="1:5" x14ac:dyDescent="0.3">
      <c r="A1615" s="4">
        <v>1612</v>
      </c>
      <c r="B1615" s="5">
        <v>34133.060471190322</v>
      </c>
      <c r="C1615" s="19">
        <v>-57.605872492601073</v>
      </c>
      <c r="D1615" s="5">
        <v>75006.214778595051</v>
      </c>
      <c r="E1615" s="6">
        <v>119.74652651467723</v>
      </c>
    </row>
    <row r="1616" spans="1:5" x14ac:dyDescent="0.3">
      <c r="A1616" s="4">
        <v>1613</v>
      </c>
      <c r="B1616" s="5">
        <v>74622.570730712585</v>
      </c>
      <c r="C1616" s="19">
        <v>-7.3168730018248498</v>
      </c>
      <c r="D1616" s="5">
        <v>118111.48899185458</v>
      </c>
      <c r="E1616" s="6">
        <v>58.27850452657102</v>
      </c>
    </row>
    <row r="1617" spans="1:5" x14ac:dyDescent="0.3">
      <c r="A1617" s="4">
        <v>1614</v>
      </c>
      <c r="B1617" s="5">
        <v>48509.066625205684</v>
      </c>
      <c r="C1617" s="19">
        <v>-39.750507942009826</v>
      </c>
      <c r="D1617" s="5">
        <v>88863.422157694178</v>
      </c>
      <c r="E1617" s="6">
        <v>83.189305298898617</v>
      </c>
    </row>
    <row r="1618" spans="1:5" x14ac:dyDescent="0.3">
      <c r="A1618" s="4">
        <v>1615</v>
      </c>
      <c r="B1618" s="5">
        <v>78565.670048255168</v>
      </c>
      <c r="C1618" s="19">
        <v>-2.4194435614343131</v>
      </c>
      <c r="D1618" s="5">
        <v>135692.07954170075</v>
      </c>
      <c r="E1618" s="6">
        <v>72.711668414917668</v>
      </c>
    </row>
    <row r="1619" spans="1:5" x14ac:dyDescent="0.3">
      <c r="A1619" s="4">
        <v>1616</v>
      </c>
      <c r="B1619" s="5">
        <v>140926.77023569739</v>
      </c>
      <c r="C1619" s="19">
        <v>75.034625788119953</v>
      </c>
      <c r="D1619" s="5">
        <v>239876.73532723298</v>
      </c>
      <c r="E1619" s="6">
        <v>70.21374642024621</v>
      </c>
    </row>
    <row r="1620" spans="1:5" x14ac:dyDescent="0.3">
      <c r="A1620" s="4">
        <v>1617</v>
      </c>
      <c r="B1620" s="5">
        <v>61704.837259323132</v>
      </c>
      <c r="C1620" s="19">
        <v>-23.361025865143578</v>
      </c>
      <c r="D1620" s="5">
        <v>109682.83117535227</v>
      </c>
      <c r="E1620" s="6">
        <v>77.75402390965715</v>
      </c>
    </row>
    <row r="1621" spans="1:5" x14ac:dyDescent="0.3">
      <c r="A1621" s="4">
        <v>1618</v>
      </c>
      <c r="B1621" s="5">
        <v>96931.326491739601</v>
      </c>
      <c r="C1621" s="19">
        <v>20.391167918287177</v>
      </c>
      <c r="D1621" s="5">
        <v>184416.27316158332</v>
      </c>
      <c r="E1621" s="6">
        <v>90.254564583204271</v>
      </c>
    </row>
    <row r="1622" spans="1:5" x14ac:dyDescent="0.3">
      <c r="A1622" s="4">
        <v>1619</v>
      </c>
      <c r="B1622" s="5">
        <v>63635.785556113107</v>
      </c>
      <c r="C1622" s="19">
        <v>-20.962739067116694</v>
      </c>
      <c r="D1622" s="5">
        <v>112060.61338672257</v>
      </c>
      <c r="E1622" s="6">
        <v>76.096849292304498</v>
      </c>
    </row>
    <row r="1623" spans="1:5" x14ac:dyDescent="0.3">
      <c r="A1623" s="4">
        <v>1620</v>
      </c>
      <c r="B1623" s="5">
        <v>75151.740579069796</v>
      </c>
      <c r="C1623" s="19">
        <v>-6.6596306182049716</v>
      </c>
      <c r="D1623" s="5">
        <v>123002.16993056568</v>
      </c>
      <c r="E1623" s="6">
        <v>63.671751289846391</v>
      </c>
    </row>
    <row r="1624" spans="1:5" x14ac:dyDescent="0.3">
      <c r="A1624" s="4">
        <v>1621</v>
      </c>
      <c r="B1624" s="5">
        <v>73483.480774351396</v>
      </c>
      <c r="C1624" s="19">
        <v>-8.7316516412361356</v>
      </c>
      <c r="D1624" s="5">
        <v>140393.42649864097</v>
      </c>
      <c r="E1624" s="6">
        <v>91.05440436300583</v>
      </c>
    </row>
    <row r="1625" spans="1:5" x14ac:dyDescent="0.3">
      <c r="A1625" s="4">
        <v>1622</v>
      </c>
      <c r="B1625" s="5">
        <v>78207.819516569332</v>
      </c>
      <c r="C1625" s="19">
        <v>-2.8639030051365428</v>
      </c>
      <c r="D1625" s="5">
        <v>131953.68196899077</v>
      </c>
      <c r="E1625" s="6">
        <v>68.721852603286919</v>
      </c>
    </row>
    <row r="1626" spans="1:5" x14ac:dyDescent="0.3">
      <c r="A1626" s="4">
        <v>1623</v>
      </c>
      <c r="B1626" s="5">
        <v>92447.093852873702</v>
      </c>
      <c r="C1626" s="19">
        <v>14.82163715718308</v>
      </c>
      <c r="D1626" s="5">
        <v>169311.03269521138</v>
      </c>
      <c r="E1626" s="6">
        <v>83.14370483583177</v>
      </c>
    </row>
    <row r="1627" spans="1:5" x14ac:dyDescent="0.3">
      <c r="A1627" s="4">
        <v>1624</v>
      </c>
      <c r="B1627" s="5">
        <v>37049.884520915162</v>
      </c>
      <c r="C1627" s="19">
        <v>-53.983102984866669</v>
      </c>
      <c r="D1627" s="5">
        <v>74944.101285134922</v>
      </c>
      <c r="E1627" s="6">
        <v>102.27890654511475</v>
      </c>
    </row>
    <row r="1628" spans="1:5" x14ac:dyDescent="0.3">
      <c r="A1628" s="4">
        <v>1625</v>
      </c>
      <c r="B1628" s="5">
        <v>77762.139609809397</v>
      </c>
      <c r="C1628" s="19">
        <v>-3.4174487620607956</v>
      </c>
      <c r="D1628" s="5">
        <v>124892.21715053124</v>
      </c>
      <c r="E1628" s="6">
        <v>60.607999956287941</v>
      </c>
    </row>
    <row r="1629" spans="1:5" x14ac:dyDescent="0.3">
      <c r="A1629" s="4">
        <v>1626</v>
      </c>
      <c r="B1629" s="5">
        <v>49053.769303997891</v>
      </c>
      <c r="C1629" s="19">
        <v>-39.073973388718613</v>
      </c>
      <c r="D1629" s="5">
        <v>95704.432613627388</v>
      </c>
      <c r="E1629" s="6">
        <v>95.101077800003964</v>
      </c>
    </row>
    <row r="1630" spans="1:5" x14ac:dyDescent="0.3">
      <c r="A1630" s="4">
        <v>1627</v>
      </c>
      <c r="B1630" s="5">
        <v>101285.49304861898</v>
      </c>
      <c r="C1630" s="19">
        <v>25.799153304086353</v>
      </c>
      <c r="D1630" s="5">
        <v>145030.32291141435</v>
      </c>
      <c r="E1630" s="6">
        <v>43.189630169245461</v>
      </c>
    </row>
    <row r="1631" spans="1:5" x14ac:dyDescent="0.3">
      <c r="A1631" s="4">
        <v>1628</v>
      </c>
      <c r="B1631" s="5">
        <v>66898.310186699513</v>
      </c>
      <c r="C1631" s="19">
        <v>-16.910600663006974</v>
      </c>
      <c r="D1631" s="5">
        <v>121180.41575742005</v>
      </c>
      <c r="E1631" s="6">
        <v>81.141220786041188</v>
      </c>
    </row>
    <row r="1632" spans="1:5" x14ac:dyDescent="0.3">
      <c r="A1632" s="4">
        <v>1629</v>
      </c>
      <c r="B1632" s="5">
        <v>127065.84438427466</v>
      </c>
      <c r="C1632" s="19">
        <v>57.819004047672941</v>
      </c>
      <c r="D1632" s="5">
        <v>208408.72226871795</v>
      </c>
      <c r="E1632" s="6">
        <v>64.016320261835887</v>
      </c>
    </row>
    <row r="1633" spans="1:5" x14ac:dyDescent="0.3">
      <c r="A1633" s="4">
        <v>1630</v>
      </c>
      <c r="B1633" s="5">
        <v>95203.531221775134</v>
      </c>
      <c r="C1633" s="19">
        <v>18.245202336226967</v>
      </c>
      <c r="D1633" s="5">
        <v>191435.70832023537</v>
      </c>
      <c r="E1633" s="6">
        <v>101.08047029714568</v>
      </c>
    </row>
    <row r="1634" spans="1:5" x14ac:dyDescent="0.3">
      <c r="A1634" s="4">
        <v>1631</v>
      </c>
      <c r="B1634" s="5">
        <v>27516.022594268903</v>
      </c>
      <c r="C1634" s="19">
        <v>-65.82440149653462</v>
      </c>
      <c r="D1634" s="5">
        <v>57742.625522693976</v>
      </c>
      <c r="E1634" s="6">
        <v>109.85091622479163</v>
      </c>
    </row>
    <row r="1635" spans="1:5" x14ac:dyDescent="0.3">
      <c r="A1635" s="4">
        <v>1632</v>
      </c>
      <c r="B1635" s="5">
        <v>73531.981125076636</v>
      </c>
      <c r="C1635" s="19">
        <v>-8.6714129745471382</v>
      </c>
      <c r="D1635" s="5">
        <v>142331.16812762665</v>
      </c>
      <c r="E1635" s="6">
        <v>93.56362490155648</v>
      </c>
    </row>
    <row r="1636" spans="1:5" x14ac:dyDescent="0.3">
      <c r="A1636" s="4">
        <v>1633</v>
      </c>
      <c r="B1636" s="5">
        <v>92821.787438286017</v>
      </c>
      <c r="C1636" s="19">
        <v>15.287016101142164</v>
      </c>
      <c r="D1636" s="5">
        <v>164723.91102753652</v>
      </c>
      <c r="E1636" s="6">
        <v>77.462550090468511</v>
      </c>
    </row>
    <row r="1637" spans="1:5" x14ac:dyDescent="0.3">
      <c r="A1637" s="4">
        <v>1634</v>
      </c>
      <c r="B1637" s="5">
        <v>29854.326672080126</v>
      </c>
      <c r="C1637" s="19">
        <v>-62.920168478535246</v>
      </c>
      <c r="D1637" s="5">
        <v>59526.064927111591</v>
      </c>
      <c r="E1637" s="6">
        <v>99.388402160081483</v>
      </c>
    </row>
    <row r="1638" spans="1:5" x14ac:dyDescent="0.3">
      <c r="A1638" s="4">
        <v>1635</v>
      </c>
      <c r="B1638" s="5">
        <v>84429.417486195991</v>
      </c>
      <c r="C1638" s="19">
        <v>4.8634795964543773</v>
      </c>
      <c r="D1638" s="5">
        <v>145528.4864419857</v>
      </c>
      <c r="E1638" s="6">
        <v>72.3670383794597</v>
      </c>
    </row>
    <row r="1639" spans="1:5" x14ac:dyDescent="0.3">
      <c r="A1639" s="4">
        <v>1636</v>
      </c>
      <c r="B1639" s="5">
        <v>45384.265011462543</v>
      </c>
      <c r="C1639" s="19">
        <v>-43.63159086336595</v>
      </c>
      <c r="D1639" s="5">
        <v>79024.924216041734</v>
      </c>
      <c r="E1639" s="6">
        <v>74.124058627109392</v>
      </c>
    </row>
    <row r="1640" spans="1:5" x14ac:dyDescent="0.3">
      <c r="A1640" s="4">
        <v>1637</v>
      </c>
      <c r="B1640" s="5">
        <v>70671.862736730705</v>
      </c>
      <c r="C1640" s="19">
        <v>-12.223752611484629</v>
      </c>
      <c r="D1640" s="5">
        <v>134442.84675540638</v>
      </c>
      <c r="E1640" s="6">
        <v>90.235323577415215</v>
      </c>
    </row>
    <row r="1641" spans="1:5" x14ac:dyDescent="0.3">
      <c r="A1641" s="4">
        <v>1638</v>
      </c>
      <c r="B1641" s="5">
        <v>87473.3111220836</v>
      </c>
      <c r="C1641" s="19">
        <v>8.6440727556203161</v>
      </c>
      <c r="D1641" s="5">
        <v>153104.85940640618</v>
      </c>
      <c r="E1641" s="6">
        <v>75.030369197666246</v>
      </c>
    </row>
    <row r="1642" spans="1:5" x14ac:dyDescent="0.3">
      <c r="A1642" s="4">
        <v>1639</v>
      </c>
      <c r="B1642" s="5">
        <v>91709.310958286151</v>
      </c>
      <c r="C1642" s="19">
        <v>13.905292074903624</v>
      </c>
      <c r="D1642" s="5">
        <v>146118.80983540363</v>
      </c>
      <c r="E1642" s="6">
        <v>59.328216850157744</v>
      </c>
    </row>
    <row r="1643" spans="1:5" x14ac:dyDescent="0.3">
      <c r="A1643" s="4">
        <v>1640</v>
      </c>
      <c r="B1643" s="5">
        <v>114298.36278293851</v>
      </c>
      <c r="C1643" s="19">
        <v>41.961467820815535</v>
      </c>
      <c r="D1643" s="5">
        <v>219214.6859965288</v>
      </c>
      <c r="E1643" s="6">
        <v>91.791623833522934</v>
      </c>
    </row>
    <row r="1644" spans="1:5" x14ac:dyDescent="0.3">
      <c r="A1644" s="4">
        <v>1641</v>
      </c>
      <c r="B1644" s="5">
        <v>94107.147192354067</v>
      </c>
      <c r="C1644" s="19">
        <v>16.883465542083243</v>
      </c>
      <c r="D1644" s="5">
        <v>159997.90288736095</v>
      </c>
      <c r="E1644" s="6">
        <v>70.016739069060122</v>
      </c>
    </row>
    <row r="1645" spans="1:5" x14ac:dyDescent="0.3">
      <c r="A1645" s="4">
        <v>1642</v>
      </c>
      <c r="B1645" s="5">
        <v>29955.9992404931</v>
      </c>
      <c r="C1645" s="19">
        <v>-62.793888567803471</v>
      </c>
      <c r="D1645" s="5">
        <v>59957.287186056674</v>
      </c>
      <c r="E1645" s="6">
        <v>100.15118409072883</v>
      </c>
    </row>
    <row r="1646" spans="1:5" x14ac:dyDescent="0.3">
      <c r="A1646" s="4">
        <v>1643</v>
      </c>
      <c r="B1646" s="5">
        <v>88618.605860561976</v>
      </c>
      <c r="C1646" s="19">
        <v>10.066557891917622</v>
      </c>
      <c r="D1646" s="5">
        <v>163758.41091142458</v>
      </c>
      <c r="E1646" s="6">
        <v>84.790100590266832</v>
      </c>
    </row>
    <row r="1647" spans="1:5" x14ac:dyDescent="0.3">
      <c r="A1647" s="4">
        <v>1644</v>
      </c>
      <c r="B1647" s="5">
        <v>126908.48906318581</v>
      </c>
      <c r="C1647" s="19">
        <v>57.623564744717996</v>
      </c>
      <c r="D1647" s="5">
        <v>238776.11862006833</v>
      </c>
      <c r="E1647" s="6">
        <v>88.148263668307735</v>
      </c>
    </row>
    <row r="1648" spans="1:5" x14ac:dyDescent="0.3">
      <c r="A1648" s="4">
        <v>1645</v>
      </c>
      <c r="B1648" s="5">
        <v>117440.39688129121</v>
      </c>
      <c r="C1648" s="19">
        <v>45.863953925470256</v>
      </c>
      <c r="D1648" s="5">
        <v>198711.16768804457</v>
      </c>
      <c r="E1648" s="6">
        <v>69.201716755863742</v>
      </c>
    </row>
    <row r="1649" spans="1:5" x14ac:dyDescent="0.3">
      <c r="A1649" s="4">
        <v>1646</v>
      </c>
      <c r="B1649" s="5">
        <v>34829.004032840821</v>
      </c>
      <c r="C1649" s="19">
        <v>-56.741492923840539</v>
      </c>
      <c r="D1649" s="5">
        <v>70096.421374835438</v>
      </c>
      <c r="E1649" s="6">
        <v>101.25875924772471</v>
      </c>
    </row>
    <row r="1650" spans="1:5" x14ac:dyDescent="0.3">
      <c r="A1650" s="4">
        <v>1647</v>
      </c>
      <c r="B1650" s="5">
        <v>39577.490187191601</v>
      </c>
      <c r="C1650" s="19">
        <v>-50.843752588936276</v>
      </c>
      <c r="D1650" s="5">
        <v>71976.016488217778</v>
      </c>
      <c r="E1650" s="6">
        <v>81.86099256872852</v>
      </c>
    </row>
    <row r="1651" spans="1:5" x14ac:dyDescent="0.3">
      <c r="A1651" s="4">
        <v>1648</v>
      </c>
      <c r="B1651" s="5">
        <v>137375.05252970182</v>
      </c>
      <c r="C1651" s="19">
        <v>70.623302243741293</v>
      </c>
      <c r="D1651" s="5">
        <v>240141.76470250779</v>
      </c>
      <c r="E1651" s="6">
        <v>74.807405187770044</v>
      </c>
    </row>
    <row r="1652" spans="1:5" x14ac:dyDescent="0.3">
      <c r="A1652" s="4">
        <v>1649</v>
      </c>
      <c r="B1652" s="5">
        <v>37609.17866557683</v>
      </c>
      <c r="C1652" s="19">
        <v>-53.288445460589251</v>
      </c>
      <c r="D1652" s="5">
        <v>65191.876543707593</v>
      </c>
      <c r="E1652" s="6">
        <v>73.340335675495169</v>
      </c>
    </row>
    <row r="1653" spans="1:5" x14ac:dyDescent="0.3">
      <c r="A1653" s="4">
        <v>1650</v>
      </c>
      <c r="B1653" s="5">
        <v>85691.91287139729</v>
      </c>
      <c r="C1653" s="19">
        <v>6.4315309108948631</v>
      </c>
      <c r="D1653" s="5">
        <v>154945.74379664488</v>
      </c>
      <c r="E1653" s="6">
        <v>80.817230710184688</v>
      </c>
    </row>
    <row r="1654" spans="1:5" x14ac:dyDescent="0.3">
      <c r="A1654" s="4">
        <v>1651</v>
      </c>
      <c r="B1654" s="5">
        <v>90245.984838200704</v>
      </c>
      <c r="C1654" s="19">
        <v>12.087803890034557</v>
      </c>
      <c r="D1654" s="5">
        <v>148342.34820658571</v>
      </c>
      <c r="E1654" s="6">
        <v>64.375565818849694</v>
      </c>
    </row>
    <row r="1655" spans="1:5" x14ac:dyDescent="0.3">
      <c r="A1655" s="4">
        <v>1652</v>
      </c>
      <c r="B1655" s="5">
        <v>55836.147928078884</v>
      </c>
      <c r="C1655" s="19">
        <v>-30.650086979955592</v>
      </c>
      <c r="D1655" s="5">
        <v>104760.66737493889</v>
      </c>
      <c r="E1655" s="6">
        <v>87.621587918060584</v>
      </c>
    </row>
    <row r="1656" spans="1:5" x14ac:dyDescent="0.3">
      <c r="A1656" s="4">
        <v>1653</v>
      </c>
      <c r="B1656" s="5">
        <v>105734.98580472411</v>
      </c>
      <c r="C1656" s="19">
        <v>31.325536248996379</v>
      </c>
      <c r="D1656" s="5">
        <v>193955.19806967568</v>
      </c>
      <c r="E1656" s="6">
        <v>83.435214554131036</v>
      </c>
    </row>
    <row r="1657" spans="1:5" x14ac:dyDescent="0.3">
      <c r="A1657" s="4">
        <v>1654</v>
      </c>
      <c r="B1657" s="5">
        <v>148516.79856564864</v>
      </c>
      <c r="C1657" s="19">
        <v>84.461633632210379</v>
      </c>
      <c r="D1657" s="5">
        <v>319413.82603800501</v>
      </c>
      <c r="E1657" s="6">
        <v>115.06915656871975</v>
      </c>
    </row>
    <row r="1658" spans="1:5" x14ac:dyDescent="0.3">
      <c r="A1658" s="4">
        <v>1655</v>
      </c>
      <c r="B1658" s="5">
        <v>171596.45666182102</v>
      </c>
      <c r="C1658" s="19">
        <v>113.12715482044804</v>
      </c>
      <c r="D1658" s="5">
        <v>315172.00608686643</v>
      </c>
      <c r="E1658" s="6">
        <v>83.670462792831046</v>
      </c>
    </row>
    <row r="1659" spans="1:5" x14ac:dyDescent="0.3">
      <c r="A1659" s="4">
        <v>1656</v>
      </c>
      <c r="B1659" s="5">
        <v>121393.27279365633</v>
      </c>
      <c r="C1659" s="19">
        <v>50.773526144790473</v>
      </c>
      <c r="D1659" s="5">
        <v>220942.86625222253</v>
      </c>
      <c r="E1659" s="6">
        <v>82.005856805409721</v>
      </c>
    </row>
    <row r="1660" spans="1:5" x14ac:dyDescent="0.3">
      <c r="A1660" s="4">
        <v>1657</v>
      </c>
      <c r="B1660" s="5">
        <v>100425.08726353523</v>
      </c>
      <c r="C1660" s="19">
        <v>24.730507479264059</v>
      </c>
      <c r="D1660" s="5">
        <v>192127.5424087701</v>
      </c>
      <c r="E1660" s="6">
        <v>91.314289729805807</v>
      </c>
    </row>
    <row r="1661" spans="1:5" x14ac:dyDescent="0.3">
      <c r="A1661" s="4">
        <v>1658</v>
      </c>
      <c r="B1661" s="5">
        <v>55818.063795756731</v>
      </c>
      <c r="C1661" s="19">
        <v>-30.672547931330669</v>
      </c>
      <c r="D1661" s="5">
        <v>109621.055752046</v>
      </c>
      <c r="E1661" s="6">
        <v>96.389928810786429</v>
      </c>
    </row>
    <row r="1662" spans="1:5" x14ac:dyDescent="0.3">
      <c r="A1662" s="4">
        <v>1659</v>
      </c>
      <c r="B1662" s="5">
        <v>72817.89404209808</v>
      </c>
      <c r="C1662" s="19">
        <v>-9.5583272573355558</v>
      </c>
      <c r="D1662" s="5">
        <v>128410.77279728593</v>
      </c>
      <c r="E1662" s="6">
        <v>76.345079031052492</v>
      </c>
    </row>
    <row r="1663" spans="1:5" x14ac:dyDescent="0.3">
      <c r="A1663" s="4">
        <v>1660</v>
      </c>
      <c r="B1663" s="5">
        <v>60270.525816203808</v>
      </c>
      <c r="C1663" s="19">
        <v>-25.142477084738875</v>
      </c>
      <c r="D1663" s="5">
        <v>117731.81331175994</v>
      </c>
      <c r="E1663" s="6">
        <v>95.338951697195228</v>
      </c>
    </row>
    <row r="1664" spans="1:5" x14ac:dyDescent="0.3">
      <c r="A1664" s="4">
        <v>1661</v>
      </c>
      <c r="B1664" s="5">
        <v>95224.264012450323</v>
      </c>
      <c r="C1664" s="19">
        <v>18.27095298850762</v>
      </c>
      <c r="D1664" s="5">
        <v>174478.47310698507</v>
      </c>
      <c r="E1664" s="6">
        <v>83.229006720569103</v>
      </c>
    </row>
    <row r="1665" spans="1:5" x14ac:dyDescent="0.3">
      <c r="A1665" s="4">
        <v>1662</v>
      </c>
      <c r="B1665" s="5">
        <v>84989.342145490824</v>
      </c>
      <c r="C1665" s="19">
        <v>5.5589202359105867</v>
      </c>
      <c r="D1665" s="5">
        <v>180271.18841566669</v>
      </c>
      <c r="E1665" s="6">
        <v>112.11034685627477</v>
      </c>
    </row>
    <row r="1666" spans="1:5" x14ac:dyDescent="0.3">
      <c r="A1666" s="4">
        <v>1663</v>
      </c>
      <c r="B1666" s="5">
        <v>75572.503220519051</v>
      </c>
      <c r="C1666" s="19">
        <v>-6.137032737273505</v>
      </c>
      <c r="D1666" s="5">
        <v>155443.92056823176</v>
      </c>
      <c r="E1666" s="6">
        <v>105.68846332196978</v>
      </c>
    </row>
    <row r="1667" spans="1:5" x14ac:dyDescent="0.3">
      <c r="A1667" s="4">
        <v>1664</v>
      </c>
      <c r="B1667" s="5">
        <v>85426.823718595842</v>
      </c>
      <c r="C1667" s="19">
        <v>6.1022834543364803</v>
      </c>
      <c r="D1667" s="5">
        <v>150126.12939049621</v>
      </c>
      <c r="E1667" s="6">
        <v>75.736522623182253</v>
      </c>
    </row>
    <row r="1668" spans="1:5" x14ac:dyDescent="0.3">
      <c r="A1668" s="4">
        <v>1665</v>
      </c>
      <c r="B1668" s="5">
        <v>44773.268577987837</v>
      </c>
      <c r="C1668" s="19">
        <v>-44.390463942712458</v>
      </c>
      <c r="D1668" s="5">
        <v>78854.336288241466</v>
      </c>
      <c r="E1668" s="6">
        <v>76.119230944441512</v>
      </c>
    </row>
    <row r="1669" spans="1:5" x14ac:dyDescent="0.3">
      <c r="A1669" s="4">
        <v>1666</v>
      </c>
      <c r="B1669" s="5">
        <v>72997.328853237588</v>
      </c>
      <c r="C1669" s="19">
        <v>-9.3354646672922463</v>
      </c>
      <c r="D1669" s="5">
        <v>119629.81612887282</v>
      </c>
      <c r="E1669" s="6">
        <v>63.882457081944274</v>
      </c>
    </row>
    <row r="1670" spans="1:5" x14ac:dyDescent="0.3">
      <c r="A1670" s="4">
        <v>1667</v>
      </c>
      <c r="B1670" s="5">
        <v>41569.990813493532</v>
      </c>
      <c r="C1670" s="19">
        <v>-48.369016235267885</v>
      </c>
      <c r="D1670" s="5">
        <v>81239.141060616748</v>
      </c>
      <c r="E1670" s="6">
        <v>95.42737313823676</v>
      </c>
    </row>
    <row r="1671" spans="1:5" x14ac:dyDescent="0.3">
      <c r="A1671" s="4">
        <v>1668</v>
      </c>
      <c r="B1671" s="5">
        <v>58149.914358228991</v>
      </c>
      <c r="C1671" s="19">
        <v>-27.776330343192392</v>
      </c>
      <c r="D1671" s="5">
        <v>120521.89359863404</v>
      </c>
      <c r="E1671" s="6">
        <v>107.26065537460001</v>
      </c>
    </row>
    <row r="1672" spans="1:5" x14ac:dyDescent="0.3">
      <c r="A1672" s="4">
        <v>1669</v>
      </c>
      <c r="B1672" s="5">
        <v>73003.157021061677</v>
      </c>
      <c r="C1672" s="19">
        <v>-9.3282259349178815</v>
      </c>
      <c r="D1672" s="5">
        <v>146287.34422048519</v>
      </c>
      <c r="E1672" s="6">
        <v>100.38495619892267</v>
      </c>
    </row>
    <row r="1673" spans="1:5" x14ac:dyDescent="0.3">
      <c r="A1673" s="4">
        <v>1670</v>
      </c>
      <c r="B1673" s="5">
        <v>57167.749173597549</v>
      </c>
      <c r="C1673" s="19">
        <v>-28.996204432881406</v>
      </c>
      <c r="D1673" s="5">
        <v>105623.41783164033</v>
      </c>
      <c r="E1673" s="6">
        <v>84.76049758562408</v>
      </c>
    </row>
    <row r="1674" spans="1:5" x14ac:dyDescent="0.3">
      <c r="A1674" s="4">
        <v>1671</v>
      </c>
      <c r="B1674" s="5">
        <v>53321.945545618924</v>
      </c>
      <c r="C1674" s="19">
        <v>-33.772790157169304</v>
      </c>
      <c r="D1674" s="5">
        <v>103581.36124759295</v>
      </c>
      <c r="E1674" s="6">
        <v>94.256530191636045</v>
      </c>
    </row>
    <row r="1675" spans="1:5" x14ac:dyDescent="0.3">
      <c r="A1675" s="4">
        <v>1672</v>
      </c>
      <c r="B1675" s="5">
        <v>63241.1692959871</v>
      </c>
      <c r="C1675" s="19">
        <v>-21.452862478769021</v>
      </c>
      <c r="D1675" s="5">
        <v>104374.21695785626</v>
      </c>
      <c r="E1675" s="6">
        <v>65.041567257168367</v>
      </c>
    </row>
    <row r="1676" spans="1:5" x14ac:dyDescent="0.3">
      <c r="A1676" s="4">
        <v>1673</v>
      </c>
      <c r="B1676" s="5">
        <v>35555.094281133875</v>
      </c>
      <c r="C1676" s="19">
        <v>-55.839670405054221</v>
      </c>
      <c r="D1676" s="5">
        <v>68603.571248770648</v>
      </c>
      <c r="E1676" s="6">
        <v>92.950047344334692</v>
      </c>
    </row>
    <row r="1677" spans="1:5" x14ac:dyDescent="0.3">
      <c r="A1677" s="4">
        <v>1674</v>
      </c>
      <c r="B1677" s="5">
        <v>37547.03098926774</v>
      </c>
      <c r="C1677" s="19">
        <v>-53.365634452064548</v>
      </c>
      <c r="D1677" s="5">
        <v>78323.398540259514</v>
      </c>
      <c r="E1677" s="6">
        <v>108.60077741605478</v>
      </c>
    </row>
    <row r="1678" spans="1:5" x14ac:dyDescent="0.3">
      <c r="A1678" s="4">
        <v>1675</v>
      </c>
      <c r="B1678" s="5">
        <v>29201.191719599134</v>
      </c>
      <c r="C1678" s="19">
        <v>-63.731378668092923</v>
      </c>
      <c r="D1678" s="5">
        <v>65072.382830818744</v>
      </c>
      <c r="E1678" s="6">
        <v>122.84153145415546</v>
      </c>
    </row>
    <row r="1679" spans="1:5" x14ac:dyDescent="0.3">
      <c r="A1679" s="4">
        <v>1676</v>
      </c>
      <c r="B1679" s="5">
        <v>96195.685009441251</v>
      </c>
      <c r="C1679" s="19">
        <v>19.477482524426552</v>
      </c>
      <c r="D1679" s="5">
        <v>176041.5831612435</v>
      </c>
      <c r="E1679" s="6">
        <v>83.003617203792118</v>
      </c>
    </row>
    <row r="1680" spans="1:5" x14ac:dyDescent="0.3">
      <c r="A1680" s="4">
        <v>1677</v>
      </c>
      <c r="B1680" s="5">
        <v>39956.182537626119</v>
      </c>
      <c r="C1680" s="19">
        <v>-50.373407077318646</v>
      </c>
      <c r="D1680" s="5">
        <v>68471.059633761673</v>
      </c>
      <c r="E1680" s="6">
        <v>71.365368974584939</v>
      </c>
    </row>
    <row r="1681" spans="1:5" x14ac:dyDescent="0.3">
      <c r="A1681" s="4">
        <v>1678</v>
      </c>
      <c r="B1681" s="5">
        <v>71522.789213169992</v>
      </c>
      <c r="C1681" s="19">
        <v>-11.166880328612811</v>
      </c>
      <c r="D1681" s="5">
        <v>131334.22175179358</v>
      </c>
      <c r="E1681" s="6">
        <v>83.625699160527262</v>
      </c>
    </row>
    <row r="1682" spans="1:5" x14ac:dyDescent="0.3">
      <c r="A1682" s="4">
        <v>1679</v>
      </c>
      <c r="B1682" s="5">
        <v>58107.438371230004</v>
      </c>
      <c r="C1682" s="19">
        <v>-27.829086597216481</v>
      </c>
      <c r="D1682" s="5">
        <v>110601.87169717537</v>
      </c>
      <c r="E1682" s="6">
        <v>90.340298587205098</v>
      </c>
    </row>
    <row r="1683" spans="1:5" x14ac:dyDescent="0.3">
      <c r="A1683" s="4">
        <v>1680</v>
      </c>
      <c r="B1683" s="5">
        <v>53473.816527413539</v>
      </c>
      <c r="C1683" s="19">
        <v>-33.584162542827215</v>
      </c>
      <c r="D1683" s="5">
        <v>96257.435122489318</v>
      </c>
      <c r="E1683" s="6">
        <v>80.008537586133599</v>
      </c>
    </row>
    <row r="1684" spans="1:5" x14ac:dyDescent="0.3">
      <c r="A1684" s="4">
        <v>1681</v>
      </c>
      <c r="B1684" s="5">
        <v>62793.035329363018</v>
      </c>
      <c r="C1684" s="19">
        <v>-22.009456240336139</v>
      </c>
      <c r="D1684" s="5">
        <v>110208.76259456374</v>
      </c>
      <c r="E1684" s="6">
        <v>75.511124787159929</v>
      </c>
    </row>
    <row r="1685" spans="1:5" x14ac:dyDescent="0.3">
      <c r="A1685" s="4">
        <v>1682</v>
      </c>
      <c r="B1685" s="5">
        <v>84975.078453381109</v>
      </c>
      <c r="C1685" s="19">
        <v>5.5412043682538927</v>
      </c>
      <c r="D1685" s="5">
        <v>151455.37960496938</v>
      </c>
      <c r="E1685" s="6">
        <v>78.235057103313636</v>
      </c>
    </row>
    <row r="1686" spans="1:5" x14ac:dyDescent="0.3">
      <c r="A1686" s="4">
        <v>1683</v>
      </c>
      <c r="B1686" s="5">
        <v>59891.991725763859</v>
      </c>
      <c r="C1686" s="19">
        <v>-25.612626033426121</v>
      </c>
      <c r="D1686" s="5">
        <v>125966.34438800714</v>
      </c>
      <c r="E1686" s="6">
        <v>110.32251684797443</v>
      </c>
    </row>
    <row r="1687" spans="1:5" x14ac:dyDescent="0.3">
      <c r="A1687" s="4">
        <v>1684</v>
      </c>
      <c r="B1687" s="5">
        <v>81925.22253965339</v>
      </c>
      <c r="C1687" s="19">
        <v>1.753205908669567</v>
      </c>
      <c r="D1687" s="5">
        <v>129045.21044266214</v>
      </c>
      <c r="E1687" s="6">
        <v>57.515849749693096</v>
      </c>
    </row>
    <row r="1688" spans="1:5" x14ac:dyDescent="0.3">
      <c r="A1688" s="4">
        <v>1685</v>
      </c>
      <c r="B1688" s="5">
        <v>37900.688634685532</v>
      </c>
      <c r="C1688" s="19">
        <v>-52.926382679535585</v>
      </c>
      <c r="D1688" s="5">
        <v>77245.246803546659</v>
      </c>
      <c r="E1688" s="6">
        <v>103.80961292838941</v>
      </c>
    </row>
    <row r="1689" spans="1:5" x14ac:dyDescent="0.3">
      <c r="A1689" s="4">
        <v>1686</v>
      </c>
      <c r="B1689" s="5">
        <v>50685.174739915608</v>
      </c>
      <c r="C1689" s="19">
        <v>-37.047726427215267</v>
      </c>
      <c r="D1689" s="5">
        <v>111568.0699986659</v>
      </c>
      <c r="E1689" s="6">
        <v>120.11973041656256</v>
      </c>
    </row>
    <row r="1690" spans="1:5" x14ac:dyDescent="0.3">
      <c r="A1690" s="4">
        <v>1687</v>
      </c>
      <c r="B1690" s="5">
        <v>37095.114906663955</v>
      </c>
      <c r="C1690" s="19">
        <v>-53.926925697680204</v>
      </c>
      <c r="D1690" s="5">
        <v>75244.046075116465</v>
      </c>
      <c r="E1690" s="6">
        <v>102.84084916420959</v>
      </c>
    </row>
    <row r="1691" spans="1:5" x14ac:dyDescent="0.3">
      <c r="A1691" s="4">
        <v>1688</v>
      </c>
      <c r="B1691" s="5">
        <v>52990.97803224266</v>
      </c>
      <c r="C1691" s="19">
        <v>-34.183860209757263</v>
      </c>
      <c r="D1691" s="5">
        <v>104256.30404222869</v>
      </c>
      <c r="E1691" s="6">
        <v>96.743498447591108</v>
      </c>
    </row>
    <row r="1692" spans="1:5" x14ac:dyDescent="0.3">
      <c r="A1692" s="4">
        <v>1689</v>
      </c>
      <c r="B1692" s="5">
        <v>66804.217313260378</v>
      </c>
      <c r="C1692" s="19">
        <v>-17.027466400185247</v>
      </c>
      <c r="D1692" s="5">
        <v>131426.86737344562</v>
      </c>
      <c r="E1692" s="6">
        <v>96.734386928230492</v>
      </c>
    </row>
    <row r="1693" spans="1:5" x14ac:dyDescent="0.3">
      <c r="A1693" s="4">
        <v>1690</v>
      </c>
      <c r="B1693" s="5">
        <v>70298.139363978247</v>
      </c>
      <c r="C1693" s="19">
        <v>-12.687926526693188</v>
      </c>
      <c r="D1693" s="5">
        <v>125417.23875680736</v>
      </c>
      <c r="E1693" s="6">
        <v>78.407622010367049</v>
      </c>
    </row>
    <row r="1694" spans="1:5" x14ac:dyDescent="0.3">
      <c r="A1694" s="4">
        <v>1691</v>
      </c>
      <c r="B1694" s="5">
        <v>69826.416612607689</v>
      </c>
      <c r="C1694" s="19">
        <v>-13.273818157671426</v>
      </c>
      <c r="D1694" s="5">
        <v>128201.52179426697</v>
      </c>
      <c r="E1694" s="6">
        <v>83.600316346634941</v>
      </c>
    </row>
    <row r="1695" spans="1:5" x14ac:dyDescent="0.3">
      <c r="A1695" s="4">
        <v>1692</v>
      </c>
      <c r="B1695" s="5">
        <v>157361.41036640905</v>
      </c>
      <c r="C1695" s="19">
        <v>95.446865992237491</v>
      </c>
      <c r="D1695" s="5">
        <v>283986.02926435939</v>
      </c>
      <c r="E1695" s="6">
        <v>80.467389433731256</v>
      </c>
    </row>
    <row r="1696" spans="1:5" x14ac:dyDescent="0.3">
      <c r="A1696" s="4">
        <v>1693</v>
      </c>
      <c r="B1696" s="5">
        <v>90370.388246235612</v>
      </c>
      <c r="C1696" s="19">
        <v>12.242316080555483</v>
      </c>
      <c r="D1696" s="5">
        <v>144212.15573257973</v>
      </c>
      <c r="E1696" s="6">
        <v>59.578993220256415</v>
      </c>
    </row>
    <row r="1697" spans="1:5" x14ac:dyDescent="0.3">
      <c r="A1697" s="4">
        <v>1694</v>
      </c>
      <c r="B1697" s="5">
        <v>100649.42371535208</v>
      </c>
      <c r="C1697" s="19">
        <v>25.009139046770535</v>
      </c>
      <c r="D1697" s="5">
        <v>178253.9163393341</v>
      </c>
      <c r="E1697" s="6">
        <v>77.103762504846799</v>
      </c>
    </row>
    <row r="1698" spans="1:5" x14ac:dyDescent="0.3">
      <c r="A1698" s="4">
        <v>1695</v>
      </c>
      <c r="B1698" s="5">
        <v>30125.656193964434</v>
      </c>
      <c r="C1698" s="19">
        <v>-62.583170325176162</v>
      </c>
      <c r="D1698" s="5">
        <v>67781.148675400109</v>
      </c>
      <c r="E1698" s="6">
        <v>124.99476273310128</v>
      </c>
    </row>
    <row r="1699" spans="1:5" x14ac:dyDescent="0.3">
      <c r="A1699" s="4">
        <v>1696</v>
      </c>
      <c r="B1699" s="5">
        <v>109667.82974774978</v>
      </c>
      <c r="C1699" s="19">
        <v>36.21022825392393</v>
      </c>
      <c r="D1699" s="5">
        <v>194985.2878838653</v>
      </c>
      <c r="E1699" s="6">
        <v>77.796249212149746</v>
      </c>
    </row>
    <row r="1700" spans="1:5" x14ac:dyDescent="0.3">
      <c r="A1700" s="4">
        <v>1697</v>
      </c>
      <c r="B1700" s="5">
        <v>49050.649858771903</v>
      </c>
      <c r="C1700" s="19">
        <v>-39.077847818870417</v>
      </c>
      <c r="D1700" s="5">
        <v>86768.786855846512</v>
      </c>
      <c r="E1700" s="6">
        <v>76.896304341887003</v>
      </c>
    </row>
    <row r="1701" spans="1:5" x14ac:dyDescent="0.3">
      <c r="A1701" s="4">
        <v>1698</v>
      </c>
      <c r="B1701" s="5">
        <v>106265.14250281776</v>
      </c>
      <c r="C1701" s="19">
        <v>31.984004325038196</v>
      </c>
      <c r="D1701" s="5">
        <v>204647.09514764365</v>
      </c>
      <c r="E1701" s="6">
        <v>92.581584447804374</v>
      </c>
    </row>
    <row r="1702" spans="1:5" x14ac:dyDescent="0.3">
      <c r="A1702" s="4">
        <v>1699</v>
      </c>
      <c r="B1702" s="5">
        <v>50751.748038689846</v>
      </c>
      <c r="C1702" s="19">
        <v>-36.965040700302346</v>
      </c>
      <c r="D1702" s="5">
        <v>83013.031377298728</v>
      </c>
      <c r="E1702" s="6">
        <v>63.56684170565903</v>
      </c>
    </row>
    <row r="1703" spans="1:5" x14ac:dyDescent="0.3">
      <c r="A1703" s="4">
        <v>1700</v>
      </c>
      <c r="B1703" s="5">
        <v>53603.204655745911</v>
      </c>
      <c r="C1703" s="19">
        <v>-33.423459203169287</v>
      </c>
      <c r="D1703" s="5">
        <v>90299.81296644808</v>
      </c>
      <c r="E1703" s="6">
        <v>68.459728380751827</v>
      </c>
    </row>
    <row r="1704" spans="1:5" x14ac:dyDescent="0.3">
      <c r="A1704" s="4">
        <v>1701</v>
      </c>
      <c r="B1704" s="5">
        <v>80088.411504362317</v>
      </c>
      <c r="C1704" s="19">
        <v>-0.52816002108210658</v>
      </c>
      <c r="D1704" s="5">
        <v>119962.53603929951</v>
      </c>
      <c r="E1704" s="6">
        <v>49.787633174326714</v>
      </c>
    </row>
    <row r="1705" spans="1:5" x14ac:dyDescent="0.3">
      <c r="A1705" s="4">
        <v>1702</v>
      </c>
      <c r="B1705" s="5">
        <v>30718.460250461179</v>
      </c>
      <c r="C1705" s="19">
        <v>-61.846892639814818</v>
      </c>
      <c r="D1705" s="5">
        <v>52264.392154329042</v>
      </c>
      <c r="E1705" s="6">
        <v>70.140012644495727</v>
      </c>
    </row>
    <row r="1706" spans="1:5" x14ac:dyDescent="0.3">
      <c r="A1706" s="4">
        <v>1703</v>
      </c>
      <c r="B1706" s="5">
        <v>53763.946035708235</v>
      </c>
      <c r="C1706" s="19">
        <v>-33.223814329144894</v>
      </c>
      <c r="D1706" s="5">
        <v>94548.337684518992</v>
      </c>
      <c r="E1706" s="6">
        <v>75.858255682577905</v>
      </c>
    </row>
    <row r="1707" spans="1:5" x14ac:dyDescent="0.3">
      <c r="A1707" s="4">
        <v>1704</v>
      </c>
      <c r="B1707" s="5">
        <v>28672.85684755275</v>
      </c>
      <c r="C1707" s="19">
        <v>-64.387583989940495</v>
      </c>
      <c r="D1707" s="5">
        <v>56126.552484410589</v>
      </c>
      <c r="E1707" s="6">
        <v>95.748030211370562</v>
      </c>
    </row>
    <row r="1708" spans="1:5" x14ac:dyDescent="0.3">
      <c r="A1708" s="4">
        <v>1705</v>
      </c>
      <c r="B1708" s="5">
        <v>89249.619162484261</v>
      </c>
      <c r="C1708" s="19">
        <v>10.85029242996578</v>
      </c>
      <c r="D1708" s="5">
        <v>159468.29550443243</v>
      </c>
      <c r="E1708" s="6">
        <v>78.676723778631342</v>
      </c>
    </row>
    <row r="1709" spans="1:5" x14ac:dyDescent="0.3">
      <c r="A1709" s="4">
        <v>1706</v>
      </c>
      <c r="B1709" s="5">
        <v>67741.438612111699</v>
      </c>
      <c r="C1709" s="19">
        <v>-15.863413757449363</v>
      </c>
      <c r="D1709" s="5">
        <v>139121.23999743478</v>
      </c>
      <c r="E1709" s="6">
        <v>105.37095586948585</v>
      </c>
    </row>
    <row r="1710" spans="1:5" x14ac:dyDescent="0.3">
      <c r="A1710" s="4">
        <v>1707</v>
      </c>
      <c r="B1710" s="5">
        <v>57468.81649119567</v>
      </c>
      <c r="C1710" s="19">
        <v>-28.622271182408944</v>
      </c>
      <c r="D1710" s="5">
        <v>108040.39822318839</v>
      </c>
      <c r="E1710" s="6">
        <v>87.998300329954375</v>
      </c>
    </row>
    <row r="1711" spans="1:5" x14ac:dyDescent="0.3">
      <c r="A1711" s="4">
        <v>1708</v>
      </c>
      <c r="B1711" s="5">
        <v>99401.507149367564</v>
      </c>
      <c r="C1711" s="19">
        <v>23.459194995852616</v>
      </c>
      <c r="D1711" s="5">
        <v>159637.78975560982</v>
      </c>
      <c r="E1711" s="6">
        <v>60.598963067760195</v>
      </c>
    </row>
    <row r="1712" spans="1:5" x14ac:dyDescent="0.3">
      <c r="A1712" s="4">
        <v>1709</v>
      </c>
      <c r="B1712" s="5">
        <v>72229.781486832944</v>
      </c>
      <c r="C1712" s="19">
        <v>-10.288777979082479</v>
      </c>
      <c r="D1712" s="5">
        <v>128275.79285251089</v>
      </c>
      <c r="E1712" s="6">
        <v>77.594048067132519</v>
      </c>
    </row>
    <row r="1713" spans="1:5" x14ac:dyDescent="0.3">
      <c r="A1713" s="4">
        <v>1710</v>
      </c>
      <c r="B1713" s="5">
        <v>39282.746632225004</v>
      </c>
      <c r="C1713" s="19">
        <v>-51.209831565703823</v>
      </c>
      <c r="D1713" s="5">
        <v>70103.543896923511</v>
      </c>
      <c r="E1713" s="6">
        <v>78.458865295878098</v>
      </c>
    </row>
    <row r="1714" spans="1:5" x14ac:dyDescent="0.3">
      <c r="A1714" s="4">
        <v>1711</v>
      </c>
      <c r="B1714" s="5">
        <v>89983.903343296071</v>
      </c>
      <c r="C1714" s="19">
        <v>11.762292020927635</v>
      </c>
      <c r="D1714" s="5">
        <v>172953.4840938242</v>
      </c>
      <c r="E1714" s="6">
        <v>92.204914065566015</v>
      </c>
    </row>
    <row r="1715" spans="1:5" x14ac:dyDescent="0.3">
      <c r="A1715" s="4">
        <v>1712</v>
      </c>
      <c r="B1715" s="5">
        <v>59198.516485602384</v>
      </c>
      <c r="C1715" s="19">
        <v>-26.473939884243684</v>
      </c>
      <c r="D1715" s="5">
        <v>118888.38168986262</v>
      </c>
      <c r="E1715" s="6">
        <v>100.83000174299531</v>
      </c>
    </row>
    <row r="1716" spans="1:5" x14ac:dyDescent="0.3">
      <c r="A1716" s="4">
        <v>1713</v>
      </c>
      <c r="B1716" s="5">
        <v>56127.853451622024</v>
      </c>
      <c r="C1716" s="19">
        <v>-30.287781315330577</v>
      </c>
      <c r="D1716" s="5">
        <v>94461.193772106591</v>
      </c>
      <c r="E1716" s="6">
        <v>68.296465948987375</v>
      </c>
    </row>
    <row r="1717" spans="1:5" x14ac:dyDescent="0.3">
      <c r="A1717" s="4">
        <v>1714</v>
      </c>
      <c r="B1717" s="5">
        <v>81315.478546790589</v>
      </c>
      <c r="C1717" s="19">
        <v>0.9958883923538473</v>
      </c>
      <c r="D1717" s="5">
        <v>134865.2516601111</v>
      </c>
      <c r="E1717" s="6">
        <v>65.854341719832433</v>
      </c>
    </row>
    <row r="1718" spans="1:5" x14ac:dyDescent="0.3">
      <c r="A1718" s="4">
        <v>1715</v>
      </c>
      <c r="B1718" s="5">
        <v>89005.715431067263</v>
      </c>
      <c r="C1718" s="19">
        <v>10.547357804518114</v>
      </c>
      <c r="D1718" s="5">
        <v>188655.51762210773</v>
      </c>
      <c r="E1718" s="6">
        <v>111.95888006564789</v>
      </c>
    </row>
    <row r="1719" spans="1:5" x14ac:dyDescent="0.3">
      <c r="A1719" s="4">
        <v>1716</v>
      </c>
      <c r="B1719" s="5">
        <v>80983.534146299062</v>
      </c>
      <c r="C1719" s="19">
        <v>0.58360502117233048</v>
      </c>
      <c r="D1719" s="5">
        <v>144389.10966024708</v>
      </c>
      <c r="E1719" s="6">
        <v>78.294404143197852</v>
      </c>
    </row>
    <row r="1720" spans="1:5" x14ac:dyDescent="0.3">
      <c r="A1720" s="4">
        <v>1717</v>
      </c>
      <c r="B1720" s="5">
        <v>71421.270074578744</v>
      </c>
      <c r="C1720" s="19">
        <v>-11.292969675611484</v>
      </c>
      <c r="D1720" s="5">
        <v>137337.48136505947</v>
      </c>
      <c r="E1720" s="6">
        <v>92.292129811819947</v>
      </c>
    </row>
    <row r="1721" spans="1:5" x14ac:dyDescent="0.3">
      <c r="A1721" s="4">
        <v>1718</v>
      </c>
      <c r="B1721" s="5">
        <v>94851.582739924532</v>
      </c>
      <c r="C1721" s="19">
        <v>17.808073388232295</v>
      </c>
      <c r="D1721" s="5">
        <v>184178.62985524116</v>
      </c>
      <c r="E1721" s="6">
        <v>94.175599958352052</v>
      </c>
    </row>
    <row r="1722" spans="1:5" x14ac:dyDescent="0.3">
      <c r="A1722" s="4">
        <v>1719</v>
      </c>
      <c r="B1722" s="5">
        <v>107816.99483779623</v>
      </c>
      <c r="C1722" s="19">
        <v>33.911444315872323</v>
      </c>
      <c r="D1722" s="5">
        <v>185337.72683283605</v>
      </c>
      <c r="E1722" s="6">
        <v>71.900290034669212</v>
      </c>
    </row>
    <row r="1723" spans="1:5" x14ac:dyDescent="0.3">
      <c r="A1723" s="4">
        <v>1720</v>
      </c>
      <c r="B1723" s="5">
        <v>72089.771081341372</v>
      </c>
      <c r="C1723" s="19">
        <v>-10.462674456598236</v>
      </c>
      <c r="D1723" s="5">
        <v>138835.67454134041</v>
      </c>
      <c r="E1723" s="6">
        <v>92.587204063510399</v>
      </c>
    </row>
    <row r="1724" spans="1:5" x14ac:dyDescent="0.3">
      <c r="A1724" s="4">
        <v>1721</v>
      </c>
      <c r="B1724" s="5">
        <v>54235.320436271388</v>
      </c>
      <c r="C1724" s="19">
        <v>-32.638355358711671</v>
      </c>
      <c r="D1724" s="5">
        <v>102561.0710858697</v>
      </c>
      <c r="E1724" s="6">
        <v>89.103835398894617</v>
      </c>
    </row>
    <row r="1725" spans="1:5" x14ac:dyDescent="0.3">
      <c r="A1725" s="4">
        <v>1722</v>
      </c>
      <c r="B1725" s="5">
        <v>43229.395722760084</v>
      </c>
      <c r="C1725" s="19">
        <v>-46.307993217152429</v>
      </c>
      <c r="D1725" s="5">
        <v>92536.507433216902</v>
      </c>
      <c r="E1725" s="6">
        <v>114.05922032006764</v>
      </c>
    </row>
    <row r="1726" spans="1:5" x14ac:dyDescent="0.3">
      <c r="A1726" s="4">
        <v>1723</v>
      </c>
      <c r="B1726" s="5">
        <v>43637.975270144438</v>
      </c>
      <c r="C1726" s="19">
        <v>-45.800527048294015</v>
      </c>
      <c r="D1726" s="5">
        <v>85966.607718676954</v>
      </c>
      <c r="E1726" s="6">
        <v>96.999533517523844</v>
      </c>
    </row>
    <row r="1727" spans="1:5" x14ac:dyDescent="0.3">
      <c r="A1727" s="4">
        <v>1724</v>
      </c>
      <c r="B1727" s="5">
        <v>34712.957551358784</v>
      </c>
      <c r="C1727" s="19">
        <v>-56.885625599458265</v>
      </c>
      <c r="D1727" s="5">
        <v>73903.370910090365</v>
      </c>
      <c r="E1727" s="6">
        <v>112.89851433934513</v>
      </c>
    </row>
    <row r="1728" spans="1:5" x14ac:dyDescent="0.3">
      <c r="A1728" s="4">
        <v>1725</v>
      </c>
      <c r="B1728" s="5">
        <v>37970.337432275432</v>
      </c>
      <c r="C1728" s="19">
        <v>-52.839877105027981</v>
      </c>
      <c r="D1728" s="5">
        <v>78981.27100091301</v>
      </c>
      <c r="E1728" s="6">
        <v>108.00781963495956</v>
      </c>
    </row>
    <row r="1729" spans="1:5" x14ac:dyDescent="0.3">
      <c r="A1729" s="4">
        <v>1726</v>
      </c>
      <c r="B1729" s="5">
        <v>43102.567888387392</v>
      </c>
      <c r="C1729" s="19">
        <v>-46.465516606724293</v>
      </c>
      <c r="D1729" s="5">
        <v>86145.524268283174</v>
      </c>
      <c r="E1729" s="6">
        <v>99.86169847549229</v>
      </c>
    </row>
    <row r="1730" spans="1:5" x14ac:dyDescent="0.3">
      <c r="A1730" s="4">
        <v>1727</v>
      </c>
      <c r="B1730" s="5">
        <v>54226.922744015821</v>
      </c>
      <c r="C1730" s="19">
        <v>-32.64878550565237</v>
      </c>
      <c r="D1730" s="5">
        <v>92283.087096560077</v>
      </c>
      <c r="E1730" s="6">
        <v>70.179465156436365</v>
      </c>
    </row>
    <row r="1731" spans="1:5" x14ac:dyDescent="0.3">
      <c r="A1731" s="4">
        <v>1728</v>
      </c>
      <c r="B1731" s="5">
        <v>51081.511096986185</v>
      </c>
      <c r="C1731" s="19">
        <v>-36.555466611496428</v>
      </c>
      <c r="D1731" s="5">
        <v>98822.22625146521</v>
      </c>
      <c r="E1731" s="6">
        <v>93.459872523809764</v>
      </c>
    </row>
    <row r="1732" spans="1:5" x14ac:dyDescent="0.3">
      <c r="A1732" s="4">
        <v>1729</v>
      </c>
      <c r="B1732" s="5">
        <v>78330.818197555287</v>
      </c>
      <c r="C1732" s="19">
        <v>-2.7111355212667143</v>
      </c>
      <c r="D1732" s="5">
        <v>148799.91933954219</v>
      </c>
      <c r="E1732" s="6">
        <v>89.963443206043578</v>
      </c>
    </row>
    <row r="1733" spans="1:5" x14ac:dyDescent="0.3">
      <c r="A1733" s="4">
        <v>1730</v>
      </c>
      <c r="B1733" s="5">
        <v>73330.062707566351</v>
      </c>
      <c r="C1733" s="19">
        <v>-8.9222007744061145</v>
      </c>
      <c r="D1733" s="5">
        <v>129067.47638307656</v>
      </c>
      <c r="E1733" s="6">
        <v>76.008954059927603</v>
      </c>
    </row>
    <row r="1734" spans="1:5" x14ac:dyDescent="0.3">
      <c r="A1734" s="4">
        <v>1731</v>
      </c>
      <c r="B1734" s="5">
        <v>49980.809212072883</v>
      </c>
      <c r="C1734" s="19">
        <v>-37.922566291761974</v>
      </c>
      <c r="D1734" s="5">
        <v>87388.437913652917</v>
      </c>
      <c r="E1734" s="6">
        <v>74.843983703537575</v>
      </c>
    </row>
    <row r="1735" spans="1:5" x14ac:dyDescent="0.3">
      <c r="A1735" s="4">
        <v>1732</v>
      </c>
      <c r="B1735" s="5">
        <v>111077.37743878231</v>
      </c>
      <c r="C1735" s="19">
        <v>37.960922264847127</v>
      </c>
      <c r="D1735" s="5">
        <v>211748.63928511276</v>
      </c>
      <c r="E1735" s="6">
        <v>90.631651707669334</v>
      </c>
    </row>
    <row r="1736" spans="1:5" x14ac:dyDescent="0.3">
      <c r="A1736" s="4">
        <v>1733</v>
      </c>
      <c r="B1736" s="5">
        <v>96211.914116151296</v>
      </c>
      <c r="C1736" s="19">
        <v>19.497639486905129</v>
      </c>
      <c r="D1736" s="5">
        <v>182777.58247736562</v>
      </c>
      <c r="E1736" s="6">
        <v>89.973959209156163</v>
      </c>
    </row>
    <row r="1737" spans="1:5" x14ac:dyDescent="0.3">
      <c r="A1737" s="4">
        <v>1734</v>
      </c>
      <c r="B1737" s="5">
        <v>82013.5147873182</v>
      </c>
      <c r="C1737" s="19">
        <v>1.8628671213983836</v>
      </c>
      <c r="D1737" s="5">
        <v>145693.86299468434</v>
      </c>
      <c r="E1737" s="6">
        <v>77.646164016388525</v>
      </c>
    </row>
    <row r="1738" spans="1:5" x14ac:dyDescent="0.3">
      <c r="A1738" s="4">
        <v>1735</v>
      </c>
      <c r="B1738" s="5">
        <v>98373.213570823544</v>
      </c>
      <c r="C1738" s="19">
        <v>22.182028270043499</v>
      </c>
      <c r="D1738" s="5">
        <v>196348.12888473138</v>
      </c>
      <c r="E1738" s="6">
        <v>99.595115130981313</v>
      </c>
    </row>
    <row r="1739" spans="1:5" x14ac:dyDescent="0.3">
      <c r="A1739" s="4">
        <v>1736</v>
      </c>
      <c r="B1739" s="5">
        <v>36791.751234515825</v>
      </c>
      <c r="C1739" s="19">
        <v>-54.303711078792325</v>
      </c>
      <c r="D1739" s="5">
        <v>71373.727055464624</v>
      </c>
      <c r="E1739" s="6">
        <v>93.993829216006588</v>
      </c>
    </row>
    <row r="1740" spans="1:5" x14ac:dyDescent="0.3">
      <c r="A1740" s="4">
        <v>1737</v>
      </c>
      <c r="B1740" s="5">
        <v>26383.975121760632</v>
      </c>
      <c r="C1740" s="19">
        <v>-67.230433192240639</v>
      </c>
      <c r="D1740" s="5">
        <v>47349.195190295308</v>
      </c>
      <c r="E1740" s="6">
        <v>79.461946017540228</v>
      </c>
    </row>
    <row r="1741" spans="1:5" x14ac:dyDescent="0.3">
      <c r="A1741" s="4">
        <v>1738</v>
      </c>
      <c r="B1741" s="5">
        <v>89927.521688582245</v>
      </c>
      <c r="C1741" s="19">
        <v>11.69226457463305</v>
      </c>
      <c r="D1741" s="5">
        <v>150834.9811506652</v>
      </c>
      <c r="E1741" s="6">
        <v>67.72949850992741</v>
      </c>
    </row>
    <row r="1742" spans="1:5" x14ac:dyDescent="0.3">
      <c r="A1742" s="4">
        <v>1739</v>
      </c>
      <c r="B1742" s="5">
        <v>35461.709283867647</v>
      </c>
      <c r="C1742" s="19">
        <v>-55.955656942057665</v>
      </c>
      <c r="D1742" s="5">
        <v>68435.774368221901</v>
      </c>
      <c r="E1742" s="6">
        <v>92.984985073336318</v>
      </c>
    </row>
    <row r="1743" spans="1:5" x14ac:dyDescent="0.3">
      <c r="A1743" s="4">
        <v>1740</v>
      </c>
      <c r="B1743" s="5">
        <v>116826.59143968437</v>
      </c>
      <c r="C1743" s="19">
        <v>45.101591986722376</v>
      </c>
      <c r="D1743" s="5">
        <v>238551.46741205451</v>
      </c>
      <c r="E1743" s="6">
        <v>104.19278220165711</v>
      </c>
    </row>
    <row r="1744" spans="1:5" x14ac:dyDescent="0.3">
      <c r="A1744" s="4">
        <v>1741</v>
      </c>
      <c r="B1744" s="5">
        <v>38302.737814440188</v>
      </c>
      <c r="C1744" s="19">
        <v>-52.427027393034095</v>
      </c>
      <c r="D1744" s="5">
        <v>79598.89213090617</v>
      </c>
      <c r="E1744" s="6">
        <v>107.81515022901907</v>
      </c>
    </row>
    <row r="1745" spans="1:5" x14ac:dyDescent="0.3">
      <c r="A1745" s="4">
        <v>1742</v>
      </c>
      <c r="B1745" s="5">
        <v>96061.85916228687</v>
      </c>
      <c r="C1745" s="19">
        <v>19.311267425348717</v>
      </c>
      <c r="D1745" s="5">
        <v>167475.80039706492</v>
      </c>
      <c r="E1745" s="6">
        <v>74.341618887607993</v>
      </c>
    </row>
    <row r="1746" spans="1:5" x14ac:dyDescent="0.3">
      <c r="A1746" s="4">
        <v>1743</v>
      </c>
      <c r="B1746" s="5">
        <v>84143.341527464203</v>
      </c>
      <c r="C1746" s="19">
        <v>4.5081659942207519</v>
      </c>
      <c r="D1746" s="5">
        <v>151945.2103355139</v>
      </c>
      <c r="E1746" s="6">
        <v>80.579006701224614</v>
      </c>
    </row>
    <row r="1747" spans="1:5" x14ac:dyDescent="0.3">
      <c r="A1747" s="4">
        <v>1744</v>
      </c>
      <c r="B1747" s="5">
        <v>30582.302941890157</v>
      </c>
      <c r="C1747" s="19">
        <v>-62.016003473151805</v>
      </c>
      <c r="D1747" s="5">
        <v>58927.890087768355</v>
      </c>
      <c r="E1747" s="6">
        <v>92.686241450612883</v>
      </c>
    </row>
    <row r="1748" spans="1:5" x14ac:dyDescent="0.3">
      <c r="A1748" s="4">
        <v>1745</v>
      </c>
      <c r="B1748" s="5">
        <v>48683.419295746913</v>
      </c>
      <c r="C1748" s="19">
        <v>-39.533957499589953</v>
      </c>
      <c r="D1748" s="5">
        <v>96712.611027032501</v>
      </c>
      <c r="E1748" s="6">
        <v>98.656159378438574</v>
      </c>
    </row>
    <row r="1749" spans="1:5" x14ac:dyDescent="0.3">
      <c r="A1749" s="4">
        <v>1746</v>
      </c>
      <c r="B1749" s="5">
        <v>113297.98243995618</v>
      </c>
      <c r="C1749" s="19">
        <v>40.718970042097908</v>
      </c>
      <c r="D1749" s="5">
        <v>235869.77254831887</v>
      </c>
      <c r="E1749" s="6">
        <v>108.18532463569798</v>
      </c>
    </row>
    <row r="1750" spans="1:5" x14ac:dyDescent="0.3">
      <c r="A1750" s="4">
        <v>1747</v>
      </c>
      <c r="B1750" s="5">
        <v>63728.133851346189</v>
      </c>
      <c r="C1750" s="19">
        <v>-20.848040140353106</v>
      </c>
      <c r="D1750" s="5">
        <v>113158.99616196149</v>
      </c>
      <c r="E1750" s="6">
        <v>77.565212290570045</v>
      </c>
    </row>
    <row r="1751" spans="1:5" x14ac:dyDescent="0.3">
      <c r="A1751" s="4">
        <v>1748</v>
      </c>
      <c r="B1751" s="5">
        <v>44442.775933681718</v>
      </c>
      <c r="C1751" s="19">
        <v>-44.800944195861653</v>
      </c>
      <c r="D1751" s="5">
        <v>81057.090292795503</v>
      </c>
      <c r="E1751" s="6">
        <v>82.38530017510675</v>
      </c>
    </row>
    <row r="1752" spans="1:5" x14ac:dyDescent="0.3">
      <c r="A1752" s="4">
        <v>1749</v>
      </c>
      <c r="B1752" s="5">
        <v>63352.76118180561</v>
      </c>
      <c r="C1752" s="19">
        <v>-21.314262524036742</v>
      </c>
      <c r="D1752" s="5">
        <v>118421.39954898154</v>
      </c>
      <c r="E1752" s="6">
        <v>86.923817273162811</v>
      </c>
    </row>
    <row r="1753" spans="1:5" x14ac:dyDescent="0.3">
      <c r="A1753" s="4">
        <v>1750</v>
      </c>
      <c r="B1753" s="5">
        <v>60664.827335836228</v>
      </c>
      <c r="C1753" s="19">
        <v>-24.65274458876867</v>
      </c>
      <c r="D1753" s="5">
        <v>101763.23851466351</v>
      </c>
      <c r="E1753" s="6">
        <v>67.746687798696527</v>
      </c>
    </row>
    <row r="1754" spans="1:5" x14ac:dyDescent="0.3">
      <c r="A1754" s="4">
        <v>1751</v>
      </c>
      <c r="B1754" s="5">
        <v>115511.827040983</v>
      </c>
      <c r="C1754" s="19">
        <v>43.468621230766281</v>
      </c>
      <c r="D1754" s="5">
        <v>190230.05600043811</v>
      </c>
      <c r="E1754" s="6">
        <v>64.684483722126103</v>
      </c>
    </row>
    <row r="1755" spans="1:5" x14ac:dyDescent="0.3">
      <c r="A1755" s="4">
        <v>1752</v>
      </c>
      <c r="B1755" s="5">
        <v>40559.256380337203</v>
      </c>
      <c r="C1755" s="19">
        <v>-49.624374056800306</v>
      </c>
      <c r="D1755" s="5">
        <v>82857.38693920619</v>
      </c>
      <c r="E1755" s="6">
        <v>104.28724373599407</v>
      </c>
    </row>
    <row r="1756" spans="1:5" x14ac:dyDescent="0.3">
      <c r="A1756" s="4">
        <v>1753</v>
      </c>
      <c r="B1756" s="5">
        <v>31575.464808495755</v>
      </c>
      <c r="C1756" s="19">
        <v>-60.782471225321231</v>
      </c>
      <c r="D1756" s="5">
        <v>64020.052149163304</v>
      </c>
      <c r="E1756" s="6">
        <v>102.75252490325319</v>
      </c>
    </row>
    <row r="1757" spans="1:5" x14ac:dyDescent="0.3">
      <c r="A1757" s="4">
        <v>1754</v>
      </c>
      <c r="B1757" s="5">
        <v>60736.886154847467</v>
      </c>
      <c r="C1757" s="19">
        <v>-24.563245706481993</v>
      </c>
      <c r="D1757" s="5">
        <v>121470.23372214209</v>
      </c>
      <c r="E1757" s="6">
        <v>99.994173906868028</v>
      </c>
    </row>
    <row r="1758" spans="1:5" x14ac:dyDescent="0.3">
      <c r="A1758" s="4">
        <v>1755</v>
      </c>
      <c r="B1758" s="5">
        <v>31351.167137670211</v>
      </c>
      <c r="C1758" s="19">
        <v>-61.061054625852115</v>
      </c>
      <c r="D1758" s="5">
        <v>63892.319743579348</v>
      </c>
      <c r="E1758" s="6">
        <v>103.7956656063662</v>
      </c>
    </row>
    <row r="1759" spans="1:5" x14ac:dyDescent="0.3">
      <c r="A1759" s="4">
        <v>1756</v>
      </c>
      <c r="B1759" s="5">
        <v>51226.367515951992</v>
      </c>
      <c r="C1759" s="19">
        <v>-36.375551262238929</v>
      </c>
      <c r="D1759" s="5">
        <v>94356.063156888675</v>
      </c>
      <c r="E1759" s="6">
        <v>84.194327516012152</v>
      </c>
    </row>
    <row r="1760" spans="1:5" x14ac:dyDescent="0.3">
      <c r="A1760" s="4">
        <v>1757</v>
      </c>
      <c r="B1760" s="5">
        <v>58392.736747357892</v>
      </c>
      <c r="C1760" s="19">
        <v>-27.474738772314339</v>
      </c>
      <c r="D1760" s="5">
        <v>113659.28832201433</v>
      </c>
      <c r="E1760" s="6">
        <v>94.646277350850653</v>
      </c>
    </row>
    <row r="1761" spans="1:5" x14ac:dyDescent="0.3">
      <c r="A1761" s="4">
        <v>1758</v>
      </c>
      <c r="B1761" s="5">
        <v>80796.181917199006</v>
      </c>
      <c r="C1761" s="19">
        <v>0.35090879705357414</v>
      </c>
      <c r="D1761" s="5">
        <v>151261.41468140655</v>
      </c>
      <c r="E1761" s="6">
        <v>87.213567636675265</v>
      </c>
    </row>
    <row r="1762" spans="1:5" x14ac:dyDescent="0.3">
      <c r="A1762" s="4">
        <v>1759</v>
      </c>
      <c r="B1762" s="5">
        <v>79967.41661838576</v>
      </c>
      <c r="C1762" s="19">
        <v>-0.67843874068777588</v>
      </c>
      <c r="D1762" s="5">
        <v>129905.6471304686</v>
      </c>
      <c r="E1762" s="6">
        <v>62.448222818543897</v>
      </c>
    </row>
    <row r="1763" spans="1:5" x14ac:dyDescent="0.3">
      <c r="A1763" s="4">
        <v>1760</v>
      </c>
      <c r="B1763" s="5">
        <v>35092.800314720444</v>
      </c>
      <c r="C1763" s="19">
        <v>-56.413851245784109</v>
      </c>
      <c r="D1763" s="5">
        <v>77334.585523961054</v>
      </c>
      <c r="E1763" s="6">
        <v>120.37165695073178</v>
      </c>
    </row>
    <row r="1764" spans="1:5" x14ac:dyDescent="0.3">
      <c r="A1764" s="4">
        <v>1761</v>
      </c>
      <c r="B1764" s="5">
        <v>73715.960112375004</v>
      </c>
      <c r="C1764" s="19">
        <v>-8.4429064023693421</v>
      </c>
      <c r="D1764" s="5">
        <v>155610.86226933959</v>
      </c>
      <c r="E1764" s="6">
        <v>111.0952119895357</v>
      </c>
    </row>
    <row r="1765" spans="1:5" x14ac:dyDescent="0.3">
      <c r="A1765" s="4">
        <v>1762</v>
      </c>
      <c r="B1765" s="5">
        <v>105221.79338895681</v>
      </c>
      <c r="C1765" s="19">
        <v>30.6881382422096</v>
      </c>
      <c r="D1765" s="5">
        <v>158999.39340021138</v>
      </c>
      <c r="E1765" s="6">
        <v>51.108803869616061</v>
      </c>
    </row>
    <row r="1766" spans="1:5" x14ac:dyDescent="0.3">
      <c r="A1766" s="4">
        <v>1763</v>
      </c>
      <c r="B1766" s="5">
        <v>40236.323508391863</v>
      </c>
      <c r="C1766" s="19">
        <v>-50.025464880787119</v>
      </c>
      <c r="D1766" s="5">
        <v>67890.338793831834</v>
      </c>
      <c r="E1766" s="6">
        <v>68.7289813634994</v>
      </c>
    </row>
    <row r="1767" spans="1:5" x14ac:dyDescent="0.3">
      <c r="A1767" s="4">
        <v>1764</v>
      </c>
      <c r="B1767" s="5">
        <v>65007.33664599208</v>
      </c>
      <c r="C1767" s="19">
        <v>-19.259237799296937</v>
      </c>
      <c r="D1767" s="5">
        <v>135404.61121949478</v>
      </c>
      <c r="E1767" s="6">
        <v>108.29127634756426</v>
      </c>
    </row>
    <row r="1768" spans="1:5" x14ac:dyDescent="0.3">
      <c r="A1768" s="4">
        <v>1765</v>
      </c>
      <c r="B1768" s="5">
        <v>116839.39987098932</v>
      </c>
      <c r="C1768" s="19">
        <v>45.117500383520543</v>
      </c>
      <c r="D1768" s="5">
        <v>191011.53949961171</v>
      </c>
      <c r="E1768" s="6">
        <v>63.482129924084788</v>
      </c>
    </row>
    <row r="1769" spans="1:5" x14ac:dyDescent="0.3">
      <c r="A1769" s="4">
        <v>1766</v>
      </c>
      <c r="B1769" s="5">
        <v>94228.081424288132</v>
      </c>
      <c r="C1769" s="19">
        <v>17.03366892782855</v>
      </c>
      <c r="D1769" s="5">
        <v>168015.49627657988</v>
      </c>
      <c r="E1769" s="6">
        <v>78.307245289271464</v>
      </c>
    </row>
    <row r="1770" spans="1:5" x14ac:dyDescent="0.3">
      <c r="A1770" s="4">
        <v>1767</v>
      </c>
      <c r="B1770" s="5">
        <v>82408.58206157817</v>
      </c>
      <c r="C1770" s="19">
        <v>2.3535507040532173</v>
      </c>
      <c r="D1770" s="5">
        <v>153573.38913876397</v>
      </c>
      <c r="E1770" s="6">
        <v>86.356063042086234</v>
      </c>
    </row>
    <row r="1771" spans="1:5" x14ac:dyDescent="0.3">
      <c r="A1771" s="4">
        <v>1768</v>
      </c>
      <c r="B1771" s="5">
        <v>37861.140483833369</v>
      </c>
      <c r="C1771" s="19">
        <v>-52.975502486747828</v>
      </c>
      <c r="D1771" s="5">
        <v>79461.993328140365</v>
      </c>
      <c r="E1771" s="6">
        <v>109.87744244542893</v>
      </c>
    </row>
    <row r="1772" spans="1:5" x14ac:dyDescent="0.3">
      <c r="A1772" s="4">
        <v>1769</v>
      </c>
      <c r="B1772" s="5">
        <v>67066.835340605816</v>
      </c>
      <c r="C1772" s="19">
        <v>-16.701288144168004</v>
      </c>
      <c r="D1772" s="5">
        <v>152280.34366041506</v>
      </c>
      <c r="E1772" s="6">
        <v>127.05759543751198</v>
      </c>
    </row>
    <row r="1773" spans="1:5" x14ac:dyDescent="0.3">
      <c r="A1773" s="4">
        <v>1770</v>
      </c>
      <c r="B1773" s="5">
        <v>51957.414298168427</v>
      </c>
      <c r="C1773" s="19">
        <v>-35.467572602507673</v>
      </c>
      <c r="D1773" s="5">
        <v>86909.271260926937</v>
      </c>
      <c r="E1773" s="6">
        <v>67.270200865231686</v>
      </c>
    </row>
    <row r="1774" spans="1:5" x14ac:dyDescent="0.3">
      <c r="A1774" s="4">
        <v>1771</v>
      </c>
      <c r="B1774" s="5">
        <v>25170.415553507628</v>
      </c>
      <c r="C1774" s="19">
        <v>-68.737704979889628</v>
      </c>
      <c r="D1774" s="5">
        <v>53801.621831499026</v>
      </c>
      <c r="E1774" s="6">
        <v>113.74943817326644</v>
      </c>
    </row>
    <row r="1775" spans="1:5" x14ac:dyDescent="0.3">
      <c r="A1775" s="4">
        <v>1772</v>
      </c>
      <c r="B1775" s="5">
        <v>38728.805142214602</v>
      </c>
      <c r="C1775" s="19">
        <v>-51.897840957037502</v>
      </c>
      <c r="D1775" s="5">
        <v>71545.09726043226</v>
      </c>
      <c r="E1775" s="6">
        <v>84.733551674817164</v>
      </c>
    </row>
    <row r="1776" spans="1:5" x14ac:dyDescent="0.3">
      <c r="A1776" s="4">
        <v>1773</v>
      </c>
      <c r="B1776" s="5">
        <v>128637.0293191724</v>
      </c>
      <c r="C1776" s="19">
        <v>59.770455618327723</v>
      </c>
      <c r="D1776" s="5">
        <v>223786.05801835784</v>
      </c>
      <c r="E1776" s="6">
        <v>73.967060031449421</v>
      </c>
    </row>
    <row r="1777" spans="1:5" x14ac:dyDescent="0.3">
      <c r="A1777" s="4">
        <v>1774</v>
      </c>
      <c r="B1777" s="5">
        <v>53428.645301660268</v>
      </c>
      <c r="C1777" s="19">
        <v>-33.640266351797585</v>
      </c>
      <c r="D1777" s="5">
        <v>117235.65534520177</v>
      </c>
      <c r="E1777" s="6">
        <v>119.42471998547701</v>
      </c>
    </row>
    <row r="1778" spans="1:5" x14ac:dyDescent="0.3">
      <c r="A1778" s="4">
        <v>1775</v>
      </c>
      <c r="B1778" s="5">
        <v>58740.719024315033</v>
      </c>
      <c r="C1778" s="19">
        <v>-27.042535951471841</v>
      </c>
      <c r="D1778" s="5">
        <v>117135.12650908435</v>
      </c>
      <c r="E1778" s="6">
        <v>99.41044041459152</v>
      </c>
    </row>
    <row r="1779" spans="1:5" x14ac:dyDescent="0.3">
      <c r="A1779" s="4">
        <v>1776</v>
      </c>
      <c r="B1779" s="5">
        <v>53558.459689363226</v>
      </c>
      <c r="C1779" s="19">
        <v>-33.479033587181611</v>
      </c>
      <c r="D1779" s="5">
        <v>107313.99119666185</v>
      </c>
      <c r="E1779" s="6">
        <v>100.36795647051542</v>
      </c>
    </row>
    <row r="1780" spans="1:5" x14ac:dyDescent="0.3">
      <c r="A1780" s="4">
        <v>1777</v>
      </c>
      <c r="B1780" s="5">
        <v>44914.999678534208</v>
      </c>
      <c r="C1780" s="19">
        <v>-44.214430318262096</v>
      </c>
      <c r="D1780" s="5">
        <v>89130.890486787248</v>
      </c>
      <c r="E1780" s="6">
        <v>98.443484637014734</v>
      </c>
    </row>
    <row r="1781" spans="1:5" x14ac:dyDescent="0.3">
      <c r="A1781" s="4">
        <v>1778</v>
      </c>
      <c r="B1781" s="5">
        <v>67345.619459991343</v>
      </c>
      <c r="C1781" s="19">
        <v>-16.355031191491769</v>
      </c>
      <c r="D1781" s="5">
        <v>111725.32836109262</v>
      </c>
      <c r="E1781" s="6">
        <v>65.898434459373192</v>
      </c>
    </row>
    <row r="1782" spans="1:5" x14ac:dyDescent="0.3">
      <c r="A1782" s="4">
        <v>1779</v>
      </c>
      <c r="B1782" s="5">
        <v>66879.413851330974</v>
      </c>
      <c r="C1782" s="19">
        <v>-16.93407039118188</v>
      </c>
      <c r="D1782" s="5">
        <v>116714.65831940752</v>
      </c>
      <c r="E1782" s="6">
        <v>74.515073620198564</v>
      </c>
    </row>
    <row r="1783" spans="1:5" x14ac:dyDescent="0.3">
      <c r="A1783" s="4">
        <v>1780</v>
      </c>
      <c r="B1783" s="5">
        <v>58569.320721648313</v>
      </c>
      <c r="C1783" s="19">
        <v>-27.255416994000615</v>
      </c>
      <c r="D1783" s="5">
        <v>106568.15683485293</v>
      </c>
      <c r="E1783" s="6">
        <v>81.952181657219299</v>
      </c>
    </row>
    <row r="1784" spans="1:5" x14ac:dyDescent="0.3">
      <c r="A1784" s="4">
        <v>1781</v>
      </c>
      <c r="B1784" s="5">
        <v>89793.84175126841</v>
      </c>
      <c r="C1784" s="19">
        <v>11.52623069928082</v>
      </c>
      <c r="D1784" s="5">
        <v>152181.85666666305</v>
      </c>
      <c r="E1784" s="6">
        <v>69.479168836779792</v>
      </c>
    </row>
    <row r="1785" spans="1:5" x14ac:dyDescent="0.3">
      <c r="A1785" s="4">
        <v>1782</v>
      </c>
      <c r="B1785" s="5">
        <v>97002.5654177986</v>
      </c>
      <c r="C1785" s="19">
        <v>20.479648472715763</v>
      </c>
      <c r="D1785" s="5">
        <v>178977.02462723752</v>
      </c>
      <c r="E1785" s="6">
        <v>84.507516740786897</v>
      </c>
    </row>
    <row r="1786" spans="1:5" x14ac:dyDescent="0.3">
      <c r="A1786" s="4">
        <v>1783</v>
      </c>
      <c r="B1786" s="5">
        <v>71515.58900125949</v>
      </c>
      <c r="C1786" s="19">
        <v>-11.175823174569203</v>
      </c>
      <c r="D1786" s="5">
        <v>146920.14157240823</v>
      </c>
      <c r="E1786" s="6">
        <v>105.43792426826096</v>
      </c>
    </row>
    <row r="1787" spans="1:5" x14ac:dyDescent="0.3">
      <c r="A1787" s="4">
        <v>1784</v>
      </c>
      <c r="B1787" s="5">
        <v>58217.863333119152</v>
      </c>
      <c r="C1787" s="19">
        <v>-27.691935991624593</v>
      </c>
      <c r="D1787" s="5">
        <v>102157.46153580671</v>
      </c>
      <c r="E1787" s="6">
        <v>75.474426038736226</v>
      </c>
    </row>
    <row r="1788" spans="1:5" x14ac:dyDescent="0.3">
      <c r="A1788" s="4">
        <v>1785</v>
      </c>
      <c r="B1788" s="5">
        <v>53299.459787276865</v>
      </c>
      <c r="C1788" s="19">
        <v>-33.800718039787924</v>
      </c>
      <c r="D1788" s="5">
        <v>104444.21195833951</v>
      </c>
      <c r="E1788" s="6">
        <v>95.9573556189615</v>
      </c>
    </row>
    <row r="1789" spans="1:5" x14ac:dyDescent="0.3">
      <c r="A1789" s="4">
        <v>1786</v>
      </c>
      <c r="B1789" s="5">
        <v>240782.75462356472</v>
      </c>
      <c r="C1789" s="19">
        <v>199.0582930502211</v>
      </c>
      <c r="D1789" s="5">
        <v>362743.91445841332</v>
      </c>
      <c r="E1789" s="6">
        <v>50.65194973183209</v>
      </c>
    </row>
    <row r="1790" spans="1:5" x14ac:dyDescent="0.3">
      <c r="A1790" s="4">
        <v>1787</v>
      </c>
      <c r="B1790" s="5">
        <v>61334.79786046459</v>
      </c>
      <c r="C1790" s="19">
        <v>-23.820624191265292</v>
      </c>
      <c r="D1790" s="5">
        <v>119423.44170207607</v>
      </c>
      <c r="E1790" s="6">
        <v>94.707483953500528</v>
      </c>
    </row>
    <row r="1791" spans="1:5" x14ac:dyDescent="0.3">
      <c r="A1791" s="4">
        <v>1788</v>
      </c>
      <c r="B1791" s="5">
        <v>127003.05873193766</v>
      </c>
      <c r="C1791" s="19">
        <v>57.741022673777188</v>
      </c>
      <c r="D1791" s="5">
        <v>224635.04085856903</v>
      </c>
      <c r="E1791" s="6">
        <v>76.873725012167512</v>
      </c>
    </row>
    <row r="1792" spans="1:5" x14ac:dyDescent="0.3">
      <c r="A1792" s="4">
        <v>1789</v>
      </c>
      <c r="B1792" s="5">
        <v>48091.826631519914</v>
      </c>
      <c r="C1792" s="19">
        <v>-40.268730605003391</v>
      </c>
      <c r="D1792" s="5">
        <v>83232.230036473193</v>
      </c>
      <c r="E1792" s="6">
        <v>73.069388015139083</v>
      </c>
    </row>
    <row r="1793" spans="1:5" x14ac:dyDescent="0.3">
      <c r="A1793" s="4">
        <v>1790</v>
      </c>
      <c r="B1793" s="5">
        <v>60610.56644987539</v>
      </c>
      <c r="C1793" s="19">
        <v>-24.720137986440399</v>
      </c>
      <c r="D1793" s="5">
        <v>111207.82059793256</v>
      </c>
      <c r="E1793" s="6">
        <v>83.479262959703277</v>
      </c>
    </row>
    <row r="1794" spans="1:5" x14ac:dyDescent="0.3">
      <c r="A1794" s="4">
        <v>1791</v>
      </c>
      <c r="B1794" s="5">
        <v>55776.301682639925</v>
      </c>
      <c r="C1794" s="19">
        <v>-30.724417535872771</v>
      </c>
      <c r="D1794" s="5">
        <v>100487.94320618694</v>
      </c>
      <c r="E1794" s="6">
        <v>80.162434895649028</v>
      </c>
    </row>
    <row r="1795" spans="1:5" x14ac:dyDescent="0.3">
      <c r="A1795" s="4">
        <v>1792</v>
      </c>
      <c r="B1795" s="5">
        <v>92883.249969541401</v>
      </c>
      <c r="C1795" s="19">
        <v>15.363354125069655</v>
      </c>
      <c r="D1795" s="5">
        <v>185281.46625067099</v>
      </c>
      <c r="E1795" s="6">
        <v>99.477802845431356</v>
      </c>
    </row>
    <row r="1796" spans="1:5" x14ac:dyDescent="0.3">
      <c r="A1796" s="4">
        <v>1793</v>
      </c>
      <c r="B1796" s="5">
        <v>67841.426003552682</v>
      </c>
      <c r="C1796" s="19">
        <v>-15.739226879291776</v>
      </c>
      <c r="D1796" s="5">
        <v>133316.31575957153</v>
      </c>
      <c r="E1796" s="6">
        <v>96.511664941403353</v>
      </c>
    </row>
    <row r="1797" spans="1:5" x14ac:dyDescent="0.3">
      <c r="A1797" s="4">
        <v>1794</v>
      </c>
      <c r="B1797" s="5">
        <v>51427.005968038182</v>
      </c>
      <c r="C1797" s="19">
        <v>-36.126353211926144</v>
      </c>
      <c r="D1797" s="5">
        <v>100957.24455872562</v>
      </c>
      <c r="E1797" s="6">
        <v>96.311728941541759</v>
      </c>
    </row>
    <row r="1798" spans="1:5" x14ac:dyDescent="0.3">
      <c r="A1798" s="4">
        <v>1795</v>
      </c>
      <c r="B1798" s="5">
        <v>113919.88195178038</v>
      </c>
      <c r="C1798" s="19">
        <v>41.491385021508187</v>
      </c>
      <c r="D1798" s="5">
        <v>211174.06642094994</v>
      </c>
      <c r="E1798" s="6">
        <v>85.370685786292327</v>
      </c>
    </row>
    <row r="1799" spans="1:5" x14ac:dyDescent="0.3">
      <c r="A1799" s="4">
        <v>1796</v>
      </c>
      <c r="B1799" s="5">
        <v>45983.599273739914</v>
      </c>
      <c r="C1799" s="19">
        <v>-42.887202496668351</v>
      </c>
      <c r="D1799" s="5">
        <v>95730.595517148031</v>
      </c>
      <c r="E1799" s="6">
        <v>108.18421574019193</v>
      </c>
    </row>
    <row r="1800" spans="1:5" x14ac:dyDescent="0.3">
      <c r="A1800" s="4">
        <v>1797</v>
      </c>
      <c r="B1800" s="5">
        <v>87365.62201748183</v>
      </c>
      <c r="C1800" s="19">
        <v>8.5103201542238356</v>
      </c>
      <c r="D1800" s="5">
        <v>181011.71330312599</v>
      </c>
      <c r="E1800" s="6">
        <v>107.1887192274618</v>
      </c>
    </row>
    <row r="1801" spans="1:5" x14ac:dyDescent="0.3">
      <c r="A1801" s="4">
        <v>1798</v>
      </c>
      <c r="B1801" s="5">
        <v>112248.51683167258</v>
      </c>
      <c r="C1801" s="19">
        <v>39.415507117940926</v>
      </c>
      <c r="D1801" s="5">
        <v>220036.72710012659</v>
      </c>
      <c r="E1801" s="6">
        <v>96.026400446869857</v>
      </c>
    </row>
    <row r="1802" spans="1:5" x14ac:dyDescent="0.3">
      <c r="A1802" s="4">
        <v>1799</v>
      </c>
      <c r="B1802" s="5">
        <v>59896.734219930811</v>
      </c>
      <c r="C1802" s="19">
        <v>-25.606735735291664</v>
      </c>
      <c r="D1802" s="5">
        <v>127318.87307878681</v>
      </c>
      <c r="E1802" s="6">
        <v>112.56396485874029</v>
      </c>
    </row>
    <row r="1803" spans="1:5" x14ac:dyDescent="0.3">
      <c r="A1803" s="4">
        <v>1800</v>
      </c>
      <c r="B1803" s="5">
        <v>56203.069572650442</v>
      </c>
      <c r="C1803" s="19">
        <v>-30.194360983796514</v>
      </c>
      <c r="D1803" s="5">
        <v>108184.36580394837</v>
      </c>
      <c r="E1803" s="6">
        <v>92.488358067533525</v>
      </c>
    </row>
    <row r="1804" spans="1:5" x14ac:dyDescent="0.3">
      <c r="A1804" s="4">
        <v>1801</v>
      </c>
      <c r="B1804" s="5">
        <v>56675.665567616088</v>
      </c>
      <c r="C1804" s="19">
        <v>-29.607384762107568</v>
      </c>
      <c r="D1804" s="5">
        <v>106657.62830941936</v>
      </c>
      <c r="E1804" s="6">
        <v>88.189458811335911</v>
      </c>
    </row>
    <row r="1805" spans="1:5" x14ac:dyDescent="0.3">
      <c r="A1805" s="4">
        <v>1802</v>
      </c>
      <c r="B1805" s="5">
        <v>61947.230158894818</v>
      </c>
      <c r="C1805" s="19">
        <v>-23.059967731197354</v>
      </c>
      <c r="D1805" s="5">
        <v>113950.66936710048</v>
      </c>
      <c r="E1805" s="6">
        <v>83.947965187170908</v>
      </c>
    </row>
    <row r="1806" spans="1:5" x14ac:dyDescent="0.3">
      <c r="A1806" s="4">
        <v>1803</v>
      </c>
      <c r="B1806" s="5">
        <v>95857.50494746078</v>
      </c>
      <c r="C1806" s="19">
        <v>19.057454303395474</v>
      </c>
      <c r="D1806" s="5">
        <v>205812.19086917394</v>
      </c>
      <c r="E1806" s="6">
        <v>114.7063925583907</v>
      </c>
    </row>
    <row r="1807" spans="1:5" x14ac:dyDescent="0.3">
      <c r="A1807" s="4">
        <v>1804</v>
      </c>
      <c r="B1807" s="5">
        <v>90267.391764901447</v>
      </c>
      <c r="C1807" s="19">
        <v>12.114391836370599</v>
      </c>
      <c r="D1807" s="5">
        <v>174261.30182488795</v>
      </c>
      <c r="E1807" s="6">
        <v>93.050113022813349</v>
      </c>
    </row>
    <row r="1808" spans="1:5" x14ac:dyDescent="0.3">
      <c r="A1808" s="4">
        <v>1805</v>
      </c>
      <c r="B1808" s="5">
        <v>87670.093663123131</v>
      </c>
      <c r="C1808" s="19">
        <v>8.8884816665382562</v>
      </c>
      <c r="D1808" s="5">
        <v>152875.5281415057</v>
      </c>
      <c r="E1808" s="6">
        <v>74.375915154075017</v>
      </c>
    </row>
    <row r="1809" spans="1:5" x14ac:dyDescent="0.3">
      <c r="A1809" s="4">
        <v>1806</v>
      </c>
      <c r="B1809" s="5">
        <v>46552.838949422439</v>
      </c>
      <c r="C1809" s="19">
        <v>-42.180192370414829</v>
      </c>
      <c r="D1809" s="5">
        <v>79972.941396119961</v>
      </c>
      <c r="E1809" s="6">
        <v>71.78961197835207</v>
      </c>
    </row>
    <row r="1810" spans="1:5" x14ac:dyDescent="0.3">
      <c r="A1810" s="4">
        <v>1807</v>
      </c>
      <c r="B1810" s="5">
        <v>88469.737740776094</v>
      </c>
      <c r="C1810" s="19">
        <v>9.8816599084122689</v>
      </c>
      <c r="D1810" s="5">
        <v>166324.64058781683</v>
      </c>
      <c r="E1810" s="6">
        <v>88.001733513851107</v>
      </c>
    </row>
    <row r="1811" spans="1:5" x14ac:dyDescent="0.3">
      <c r="A1811" s="4">
        <v>1808</v>
      </c>
      <c r="B1811" s="5">
        <v>40168.350368821579</v>
      </c>
      <c r="C1811" s="19">
        <v>-50.109889245501002</v>
      </c>
      <c r="D1811" s="5">
        <v>86502.309123642714</v>
      </c>
      <c r="E1811" s="6">
        <v>115.34941895643607</v>
      </c>
    </row>
    <row r="1812" spans="1:5" x14ac:dyDescent="0.3">
      <c r="A1812" s="4">
        <v>1809</v>
      </c>
      <c r="B1812" s="5">
        <v>28228.689738563684</v>
      </c>
      <c r="C1812" s="19">
        <v>-64.939250813633848</v>
      </c>
      <c r="D1812" s="5">
        <v>60096.221928619387</v>
      </c>
      <c r="E1812" s="6">
        <v>112.89058218852055</v>
      </c>
    </row>
    <row r="1813" spans="1:5" x14ac:dyDescent="0.3">
      <c r="A1813" s="4">
        <v>1810</v>
      </c>
      <c r="B1813" s="5">
        <v>80877.000370843569</v>
      </c>
      <c r="C1813" s="19">
        <v>0.45128736790133805</v>
      </c>
      <c r="D1813" s="5">
        <v>146211.38666503096</v>
      </c>
      <c r="E1813" s="6">
        <v>80.782405374347519</v>
      </c>
    </row>
    <row r="1814" spans="1:5" x14ac:dyDescent="0.3">
      <c r="A1814" s="4">
        <v>1811</v>
      </c>
      <c r="B1814" s="5">
        <v>79980.839092931128</v>
      </c>
      <c r="C1814" s="19">
        <v>-0.66176768659869245</v>
      </c>
      <c r="D1814" s="5">
        <v>158069.41644183162</v>
      </c>
      <c r="E1814" s="6">
        <v>97.634106161562045</v>
      </c>
    </row>
    <row r="1815" spans="1:5" x14ac:dyDescent="0.3">
      <c r="A1815" s="4">
        <v>1812</v>
      </c>
      <c r="B1815" s="5">
        <v>61186.964025874207</v>
      </c>
      <c r="C1815" s="19">
        <v>-24.004237566304493</v>
      </c>
      <c r="D1815" s="5">
        <v>126988.45988086062</v>
      </c>
      <c r="E1815" s="6">
        <v>107.54169111440284</v>
      </c>
    </row>
    <row r="1816" spans="1:5" x14ac:dyDescent="0.3">
      <c r="A1816" s="4">
        <v>1813</v>
      </c>
      <c r="B1816" s="5">
        <v>84383.420792435485</v>
      </c>
      <c r="C1816" s="19">
        <v>4.8063505352661036</v>
      </c>
      <c r="D1816" s="5">
        <v>151095.22654450531</v>
      </c>
      <c r="E1816" s="6">
        <v>79.057953713640117</v>
      </c>
    </row>
    <row r="1817" spans="1:5" x14ac:dyDescent="0.3">
      <c r="A1817" s="4">
        <v>1814</v>
      </c>
      <c r="B1817" s="5">
        <v>87997.132170167111</v>
      </c>
      <c r="C1817" s="19">
        <v>9.2946717935312364</v>
      </c>
      <c r="D1817" s="5">
        <v>155678.20425650032</v>
      </c>
      <c r="E1817" s="6">
        <v>76.912815698871754</v>
      </c>
    </row>
    <row r="1818" spans="1:5" x14ac:dyDescent="0.3">
      <c r="A1818" s="4">
        <v>1815</v>
      </c>
      <c r="B1818" s="5">
        <v>79500.963373476668</v>
      </c>
      <c r="C1818" s="19">
        <v>-1.2577855108845704</v>
      </c>
      <c r="D1818" s="5">
        <v>163293.23922575871</v>
      </c>
      <c r="E1818" s="6">
        <v>105.3978119216566</v>
      </c>
    </row>
    <row r="1819" spans="1:5" x14ac:dyDescent="0.3">
      <c r="A1819" s="4">
        <v>1816</v>
      </c>
      <c r="B1819" s="5">
        <v>48140.851959163425</v>
      </c>
      <c r="C1819" s="19">
        <v>-40.207839903656378</v>
      </c>
      <c r="D1819" s="5">
        <v>103047.78895443196</v>
      </c>
      <c r="E1819" s="6">
        <v>114.05476795849935</v>
      </c>
    </row>
    <row r="1820" spans="1:5" x14ac:dyDescent="0.3">
      <c r="A1820" s="4">
        <v>1817</v>
      </c>
      <c r="B1820" s="5">
        <v>62322.998869104944</v>
      </c>
      <c r="C1820" s="19">
        <v>-22.593253454949409</v>
      </c>
      <c r="D1820" s="5">
        <v>119245.70470968187</v>
      </c>
      <c r="E1820" s="6">
        <v>91.334991694045272</v>
      </c>
    </row>
    <row r="1821" spans="1:5" x14ac:dyDescent="0.3">
      <c r="A1821" s="4">
        <v>1818</v>
      </c>
      <c r="B1821" s="5">
        <v>124751.41963609224</v>
      </c>
      <c r="C1821" s="19">
        <v>54.944429763203452</v>
      </c>
      <c r="D1821" s="5">
        <v>274139.38872680324</v>
      </c>
      <c r="E1821" s="6">
        <v>119.74851230269374</v>
      </c>
    </row>
    <row r="1822" spans="1:5" x14ac:dyDescent="0.3">
      <c r="A1822" s="4">
        <v>1819</v>
      </c>
      <c r="B1822" s="5">
        <v>64721.59731033659</v>
      </c>
      <c r="C1822" s="19">
        <v>-19.614133307125272</v>
      </c>
      <c r="D1822" s="5">
        <v>120780.75076902074</v>
      </c>
      <c r="E1822" s="6">
        <v>86.615837353153552</v>
      </c>
    </row>
    <row r="1823" spans="1:5" x14ac:dyDescent="0.3">
      <c r="A1823" s="4">
        <v>1820</v>
      </c>
      <c r="B1823" s="5">
        <v>31523.434947875881</v>
      </c>
      <c r="C1823" s="19">
        <v>-60.847093632889191</v>
      </c>
      <c r="D1823" s="5">
        <v>66310.921373322795</v>
      </c>
      <c r="E1823" s="6">
        <v>110.35436488113733</v>
      </c>
    </row>
    <row r="1824" spans="1:5" x14ac:dyDescent="0.3">
      <c r="A1824" s="4">
        <v>1821</v>
      </c>
      <c r="B1824" s="5">
        <v>139448.20305330204</v>
      </c>
      <c r="C1824" s="19">
        <v>73.198207816996913</v>
      </c>
      <c r="D1824" s="5">
        <v>298506.97051888204</v>
      </c>
      <c r="E1824" s="6">
        <v>114.06297390923143</v>
      </c>
    </row>
    <row r="1825" spans="1:5" x14ac:dyDescent="0.3">
      <c r="A1825" s="4">
        <v>1822</v>
      </c>
      <c r="B1825" s="5">
        <v>38650.478621606118</v>
      </c>
      <c r="C1825" s="19">
        <v>-51.995124483801526</v>
      </c>
      <c r="D1825" s="5">
        <v>76675.910823229846</v>
      </c>
      <c r="E1825" s="6">
        <v>98.382823596826086</v>
      </c>
    </row>
    <row r="1826" spans="1:5" x14ac:dyDescent="0.3">
      <c r="A1826" s="4">
        <v>1823</v>
      </c>
      <c r="B1826" s="5">
        <v>93988.871237379484</v>
      </c>
      <c r="C1826" s="19">
        <v>16.736563803796866</v>
      </c>
      <c r="D1826" s="5">
        <v>177962.67089013566</v>
      </c>
      <c r="E1826" s="6">
        <v>89.344406999708383</v>
      </c>
    </row>
    <row r="1827" spans="1:5" x14ac:dyDescent="0.3">
      <c r="A1827" s="4">
        <v>1824</v>
      </c>
      <c r="B1827" s="5">
        <v>38290.072149312102</v>
      </c>
      <c r="C1827" s="19">
        <v>-52.442758470616759</v>
      </c>
      <c r="D1827" s="5">
        <v>70675.276259946259</v>
      </c>
      <c r="E1827" s="6">
        <v>84.578592550957026</v>
      </c>
    </row>
    <row r="1828" spans="1:5" x14ac:dyDescent="0.3">
      <c r="A1828" s="4">
        <v>1825</v>
      </c>
      <c r="B1828" s="5">
        <v>40170.647035585178</v>
      </c>
      <c r="C1828" s="19">
        <v>-50.107036727084143</v>
      </c>
      <c r="D1828" s="5">
        <v>80716.492798969746</v>
      </c>
      <c r="E1828" s="6">
        <v>100.93401215934365</v>
      </c>
    </row>
    <row r="1829" spans="1:5" x14ac:dyDescent="0.3">
      <c r="A1829" s="4">
        <v>1826</v>
      </c>
      <c r="B1829" s="5">
        <v>26320.87307332096</v>
      </c>
      <c r="C1829" s="19">
        <v>-67.308807538127013</v>
      </c>
      <c r="D1829" s="5">
        <v>50693.246111178065</v>
      </c>
      <c r="E1829" s="6">
        <v>92.597129927886513</v>
      </c>
    </row>
    <row r="1830" spans="1:5" x14ac:dyDescent="0.3">
      <c r="A1830" s="4">
        <v>1827</v>
      </c>
      <c r="B1830" s="5">
        <v>89622.03791645779</v>
      </c>
      <c r="C1830" s="19">
        <v>11.312845975535666</v>
      </c>
      <c r="D1830" s="5">
        <v>182803.03746811522</v>
      </c>
      <c r="E1830" s="6">
        <v>103.97107867432915</v>
      </c>
    </row>
    <row r="1831" spans="1:5" x14ac:dyDescent="0.3">
      <c r="A1831" s="4">
        <v>1828</v>
      </c>
      <c r="B1831" s="5">
        <v>108488.52739410856</v>
      </c>
      <c r="C1831" s="19">
        <v>34.745504796376366</v>
      </c>
      <c r="D1831" s="5">
        <v>187540.4902197854</v>
      </c>
      <c r="E1831" s="6">
        <v>72.866656709702681</v>
      </c>
    </row>
    <row r="1832" spans="1:5" x14ac:dyDescent="0.3">
      <c r="A1832" s="4">
        <v>1829</v>
      </c>
      <c r="B1832" s="5">
        <v>71266.130177504238</v>
      </c>
      <c r="C1832" s="19">
        <v>-11.485657365706331</v>
      </c>
      <c r="D1832" s="5">
        <v>133129.83094771672</v>
      </c>
      <c r="E1832" s="6">
        <v>86.806594684076572</v>
      </c>
    </row>
    <row r="1833" spans="1:5" x14ac:dyDescent="0.3">
      <c r="A1833" s="4">
        <v>1830</v>
      </c>
      <c r="B1833" s="5">
        <v>38692.436262230534</v>
      </c>
      <c r="C1833" s="19">
        <v>-51.943012029131886</v>
      </c>
      <c r="D1833" s="5">
        <v>78311.102713736604</v>
      </c>
      <c r="E1833" s="6">
        <v>102.39382752483763</v>
      </c>
    </row>
    <row r="1834" spans="1:5" x14ac:dyDescent="0.3">
      <c r="A1834" s="4">
        <v>1831</v>
      </c>
      <c r="B1834" s="5">
        <v>39773.248687902924</v>
      </c>
      <c r="C1834" s="19">
        <v>-50.600615562099271</v>
      </c>
      <c r="D1834" s="5">
        <v>72184.294109998489</v>
      </c>
      <c r="E1834" s="6">
        <v>81.489560172522232</v>
      </c>
    </row>
    <row r="1835" spans="1:5" x14ac:dyDescent="0.3">
      <c r="A1835" s="4">
        <v>1832</v>
      </c>
      <c r="B1835" s="5">
        <v>96875.419784503261</v>
      </c>
      <c r="C1835" s="19">
        <v>20.32173036881526</v>
      </c>
      <c r="D1835" s="5">
        <v>187532.90240915192</v>
      </c>
      <c r="E1835" s="6">
        <v>93.581512035058807</v>
      </c>
    </row>
    <row r="1836" spans="1:5" x14ac:dyDescent="0.3">
      <c r="A1836" s="4">
        <v>1833</v>
      </c>
      <c r="B1836" s="5">
        <v>64287.938591131489</v>
      </c>
      <c r="C1836" s="19">
        <v>-20.152748443971664</v>
      </c>
      <c r="D1836" s="5">
        <v>113533.79987142436</v>
      </c>
      <c r="E1836" s="6">
        <v>76.602022649216394</v>
      </c>
    </row>
    <row r="1837" spans="1:5" x14ac:dyDescent="0.3">
      <c r="A1837" s="4">
        <v>1834</v>
      </c>
      <c r="B1837" s="5">
        <v>24787.52710992366</v>
      </c>
      <c r="C1837" s="19">
        <v>-69.21326214570864</v>
      </c>
      <c r="D1837" s="5">
        <v>49132.071134730162</v>
      </c>
      <c r="E1837" s="6">
        <v>98.212879069571201</v>
      </c>
    </row>
    <row r="1838" spans="1:5" x14ac:dyDescent="0.3">
      <c r="A1838" s="4">
        <v>1835</v>
      </c>
      <c r="B1838" s="5">
        <v>78216.138726141595</v>
      </c>
      <c r="C1838" s="19">
        <v>-2.8535703356806366</v>
      </c>
      <c r="D1838" s="5">
        <v>140817.90707428486</v>
      </c>
      <c r="E1838" s="6">
        <v>80.036894389955791</v>
      </c>
    </row>
    <row r="1839" spans="1:5" x14ac:dyDescent="0.3">
      <c r="A1839" s="4">
        <v>1836</v>
      </c>
      <c r="B1839" s="5">
        <v>57191.866342005582</v>
      </c>
      <c r="C1839" s="19">
        <v>-28.966250297550626</v>
      </c>
      <c r="D1839" s="5">
        <v>88768.569933920633</v>
      </c>
      <c r="E1839" s="6">
        <v>55.21187821199495</v>
      </c>
    </row>
    <row r="1840" spans="1:5" x14ac:dyDescent="0.3">
      <c r="A1840" s="4">
        <v>1837</v>
      </c>
      <c r="B1840" s="5">
        <v>135644.70510187451</v>
      </c>
      <c r="C1840" s="19">
        <v>68.474166816833815</v>
      </c>
      <c r="D1840" s="5">
        <v>196286.82594104923</v>
      </c>
      <c r="E1840" s="6">
        <v>44.706589021392396</v>
      </c>
    </row>
    <row r="1841" spans="1:5" x14ac:dyDescent="0.3">
      <c r="A1841" s="4">
        <v>1838</v>
      </c>
      <c r="B1841" s="5">
        <v>83028.37011153913</v>
      </c>
      <c r="C1841" s="19">
        <v>3.1233431942339482</v>
      </c>
      <c r="D1841" s="5">
        <v>151876.10632333663</v>
      </c>
      <c r="E1841" s="6">
        <v>82.920736754567656</v>
      </c>
    </row>
    <row r="1842" spans="1:5" x14ac:dyDescent="0.3">
      <c r="A1842" s="4">
        <v>1839</v>
      </c>
      <c r="B1842" s="5">
        <v>65179.171998888705</v>
      </c>
      <c r="C1842" s="19">
        <v>-19.04581392928894</v>
      </c>
      <c r="D1842" s="5">
        <v>140965.99173025243</v>
      </c>
      <c r="E1842" s="6">
        <v>116.2745972481146</v>
      </c>
    </row>
    <row r="1843" spans="1:5" x14ac:dyDescent="0.3">
      <c r="A1843" s="4">
        <v>1840</v>
      </c>
      <c r="B1843" s="5">
        <v>53690.950690819096</v>
      </c>
      <c r="C1843" s="19">
        <v>-33.314476400343828</v>
      </c>
      <c r="D1843" s="5">
        <v>83149.440598419344</v>
      </c>
      <c r="E1843" s="6">
        <v>54.866769033831829</v>
      </c>
    </row>
    <row r="1844" spans="1:5" x14ac:dyDescent="0.3">
      <c r="A1844" s="4">
        <v>1841</v>
      </c>
      <c r="B1844" s="5">
        <v>56647.02783607781</v>
      </c>
      <c r="C1844" s="19">
        <v>-29.642953551591923</v>
      </c>
      <c r="D1844" s="5">
        <v>107489.21410818411</v>
      </c>
      <c r="E1844" s="6">
        <v>89.752610532772778</v>
      </c>
    </row>
    <row r="1845" spans="1:5" x14ac:dyDescent="0.3">
      <c r="A1845" s="4">
        <v>1842</v>
      </c>
      <c r="B1845" s="5">
        <v>102805.01610809792</v>
      </c>
      <c r="C1845" s="19">
        <v>27.686439514133497</v>
      </c>
      <c r="D1845" s="5">
        <v>187655.85221931495</v>
      </c>
      <c r="E1845" s="6">
        <v>82.535696528657382</v>
      </c>
    </row>
    <row r="1846" spans="1:5" x14ac:dyDescent="0.3">
      <c r="A1846" s="4">
        <v>1843</v>
      </c>
      <c r="B1846" s="5">
        <v>123314.05063615205</v>
      </c>
      <c r="C1846" s="19">
        <v>53.159180980426449</v>
      </c>
      <c r="D1846" s="5">
        <v>213247.22782869477</v>
      </c>
      <c r="E1846" s="6">
        <v>72.930194676596699</v>
      </c>
    </row>
    <row r="1847" spans="1:5" x14ac:dyDescent="0.3">
      <c r="A1847" s="4">
        <v>1844</v>
      </c>
      <c r="B1847" s="5">
        <v>66429.064031399437</v>
      </c>
      <c r="C1847" s="19">
        <v>-17.493416298802039</v>
      </c>
      <c r="D1847" s="5">
        <v>134633.58410073267</v>
      </c>
      <c r="E1847" s="6">
        <v>102.67270969992077</v>
      </c>
    </row>
    <row r="1848" spans="1:5" x14ac:dyDescent="0.3">
      <c r="A1848" s="4">
        <v>1845</v>
      </c>
      <c r="B1848" s="5">
        <v>36825.363474783037</v>
      </c>
      <c r="C1848" s="19">
        <v>-54.261963823198286</v>
      </c>
      <c r="D1848" s="5">
        <v>82188.822669348723</v>
      </c>
      <c r="E1848" s="6">
        <v>123.18536713325123</v>
      </c>
    </row>
    <row r="1849" spans="1:5" x14ac:dyDescent="0.3">
      <c r="A1849" s="4">
        <v>1846</v>
      </c>
      <c r="B1849" s="5">
        <v>67790.805922585627</v>
      </c>
      <c r="C1849" s="19">
        <v>-15.802098304746387</v>
      </c>
      <c r="D1849" s="5">
        <v>117663.62156786591</v>
      </c>
      <c r="E1849" s="6">
        <v>73.568701487681125</v>
      </c>
    </row>
    <row r="1850" spans="1:5" x14ac:dyDescent="0.3">
      <c r="A1850" s="4">
        <v>1847</v>
      </c>
      <c r="B1850" s="5">
        <v>78785.933337884067</v>
      </c>
      <c r="C1850" s="19">
        <v>-2.145870964754673</v>
      </c>
      <c r="D1850" s="5">
        <v>140903.49714355331</v>
      </c>
      <c r="E1850" s="6">
        <v>78.84347011448061</v>
      </c>
    </row>
    <row r="1851" spans="1:5" x14ac:dyDescent="0.3">
      <c r="A1851" s="4">
        <v>1848</v>
      </c>
      <c r="B1851" s="5">
        <v>53685.242287620022</v>
      </c>
      <c r="C1851" s="19">
        <v>-33.321566382013927</v>
      </c>
      <c r="D1851" s="5">
        <v>110472.20129768639</v>
      </c>
      <c r="E1851" s="6">
        <v>105.7775965801343</v>
      </c>
    </row>
    <row r="1852" spans="1:5" x14ac:dyDescent="0.3">
      <c r="A1852" s="4">
        <v>1849</v>
      </c>
      <c r="B1852" s="5">
        <v>98439.930067695343</v>
      </c>
      <c r="C1852" s="19">
        <v>22.264891852628406</v>
      </c>
      <c r="D1852" s="5">
        <v>171899.44882815788</v>
      </c>
      <c r="E1852" s="6">
        <v>74.623700677098995</v>
      </c>
    </row>
    <row r="1853" spans="1:5" x14ac:dyDescent="0.3">
      <c r="A1853" s="4">
        <v>1850</v>
      </c>
      <c r="B1853" s="5">
        <v>71610.47574862378</v>
      </c>
      <c r="C1853" s="19">
        <v>-11.057971425824924</v>
      </c>
      <c r="D1853" s="5">
        <v>156053.7388649403</v>
      </c>
      <c r="E1853" s="6">
        <v>117.92026548286039</v>
      </c>
    </row>
    <row r="1854" spans="1:5" x14ac:dyDescent="0.3">
      <c r="A1854" s="4">
        <v>1851</v>
      </c>
      <c r="B1854" s="5">
        <v>45563.972458939665</v>
      </c>
      <c r="C1854" s="19">
        <v>-43.40838965207098</v>
      </c>
      <c r="D1854" s="5">
        <v>83188.476514416398</v>
      </c>
      <c r="E1854" s="6">
        <v>82.575118070274385</v>
      </c>
    </row>
    <row r="1855" spans="1:5" x14ac:dyDescent="0.3">
      <c r="A1855" s="4">
        <v>1852</v>
      </c>
      <c r="B1855" s="5">
        <v>44699.596352318971</v>
      </c>
      <c r="C1855" s="19">
        <v>-44.48196671702113</v>
      </c>
      <c r="D1855" s="5">
        <v>87277.402260352857</v>
      </c>
      <c r="E1855" s="6">
        <v>95.253222361201466</v>
      </c>
    </row>
    <row r="1856" spans="1:5" x14ac:dyDescent="0.3">
      <c r="A1856" s="4">
        <v>1853</v>
      </c>
      <c r="B1856" s="5">
        <v>104904.73496839001</v>
      </c>
      <c r="C1856" s="19">
        <v>30.294343635946607</v>
      </c>
      <c r="D1856" s="5">
        <v>194162.750029694</v>
      </c>
      <c r="E1856" s="6">
        <v>85.08482966779269</v>
      </c>
    </row>
    <row r="1857" spans="1:5" x14ac:dyDescent="0.3">
      <c r="A1857" s="4">
        <v>1854</v>
      </c>
      <c r="B1857" s="5">
        <v>50764.572513408653</v>
      </c>
      <c r="C1857" s="19">
        <v>-36.949112377176924</v>
      </c>
      <c r="D1857" s="5">
        <v>103664.08312619198</v>
      </c>
      <c r="E1857" s="6">
        <v>104.20556698041881</v>
      </c>
    </row>
    <row r="1858" spans="1:5" x14ac:dyDescent="0.3">
      <c r="A1858" s="4">
        <v>1855</v>
      </c>
      <c r="B1858" s="5">
        <v>64669.965084754171</v>
      </c>
      <c r="C1858" s="19">
        <v>-19.678261841883511</v>
      </c>
      <c r="D1858" s="5">
        <v>118864.29926594616</v>
      </c>
      <c r="E1858" s="6">
        <v>83.801397001168638</v>
      </c>
    </row>
    <row r="1859" spans="1:5" x14ac:dyDescent="0.3">
      <c r="A1859" s="4">
        <v>1856</v>
      </c>
      <c r="B1859" s="5">
        <v>105159.64404868234</v>
      </c>
      <c r="C1859" s="19">
        <v>30.610947184047081</v>
      </c>
      <c r="D1859" s="5">
        <v>214467.0735315631</v>
      </c>
      <c r="E1859" s="6">
        <v>103.94427488959381</v>
      </c>
    </row>
    <row r="1860" spans="1:5" x14ac:dyDescent="0.3">
      <c r="A1860" s="4">
        <v>1857</v>
      </c>
      <c r="B1860" s="5">
        <v>87726.41852438639</v>
      </c>
      <c r="C1860" s="19">
        <v>8.9584385739256458</v>
      </c>
      <c r="D1860" s="5">
        <v>164329.30445753795</v>
      </c>
      <c r="E1860" s="6">
        <v>87.320202080126307</v>
      </c>
    </row>
    <row r="1861" spans="1:5" x14ac:dyDescent="0.3">
      <c r="A1861" s="4">
        <v>1858</v>
      </c>
      <c r="B1861" s="5">
        <v>98058.63160757169</v>
      </c>
      <c r="C1861" s="19">
        <v>21.791309486625778</v>
      </c>
      <c r="D1861" s="5">
        <v>173068.0414296026</v>
      </c>
      <c r="E1861" s="6">
        <v>76.494448874441559</v>
      </c>
    </row>
    <row r="1862" spans="1:5" x14ac:dyDescent="0.3">
      <c r="A1862" s="4">
        <v>1859</v>
      </c>
      <c r="B1862" s="5">
        <v>47144.024812474338</v>
      </c>
      <c r="C1862" s="19">
        <v>-41.445924522386726</v>
      </c>
      <c r="D1862" s="5">
        <v>98495.678857587322</v>
      </c>
      <c r="E1862" s="6">
        <v>108.92505306743625</v>
      </c>
    </row>
    <row r="1863" spans="1:5" x14ac:dyDescent="0.3">
      <c r="A1863" s="4">
        <v>1860</v>
      </c>
      <c r="B1863" s="5">
        <v>160968.46784777325</v>
      </c>
      <c r="C1863" s="19">
        <v>99.926922942317901</v>
      </c>
      <c r="D1863" s="5">
        <v>317040.7562596543</v>
      </c>
      <c r="E1863" s="6">
        <v>96.958299037472045</v>
      </c>
    </row>
    <row r="1864" spans="1:5" x14ac:dyDescent="0.3">
      <c r="A1864" s="4">
        <v>1861</v>
      </c>
      <c r="B1864" s="5">
        <v>38599.928962170845</v>
      </c>
      <c r="C1864" s="19">
        <v>-52.057908443926152</v>
      </c>
      <c r="D1864" s="5">
        <v>75708.906339450637</v>
      </c>
      <c r="E1864" s="6">
        <v>96.137424018701608</v>
      </c>
    </row>
    <row r="1865" spans="1:5" x14ac:dyDescent="0.3">
      <c r="A1865" s="4">
        <v>1862</v>
      </c>
      <c r="B1865" s="5">
        <v>87155.200846478707</v>
      </c>
      <c r="C1865" s="19">
        <v>8.2489717187006875</v>
      </c>
      <c r="D1865" s="5">
        <v>153105.15659829415</v>
      </c>
      <c r="E1865" s="6">
        <v>75.669558570560042</v>
      </c>
    </row>
    <row r="1866" spans="1:5" x14ac:dyDescent="0.3">
      <c r="A1866" s="4">
        <v>1863</v>
      </c>
      <c r="B1866" s="5">
        <v>63600.304993482445</v>
      </c>
      <c r="C1866" s="19">
        <v>-21.006806826509912</v>
      </c>
      <c r="D1866" s="5">
        <v>124344.86500042482</v>
      </c>
      <c r="E1866" s="6">
        <v>95.50985645928472</v>
      </c>
    </row>
    <row r="1867" spans="1:5" x14ac:dyDescent="0.3">
      <c r="A1867" s="4">
        <v>1864</v>
      </c>
      <c r="B1867" s="5">
        <v>86708.475785603354</v>
      </c>
      <c r="C1867" s="19">
        <v>7.6941278538358553</v>
      </c>
      <c r="D1867" s="5">
        <v>167212.96540376206</v>
      </c>
      <c r="E1867" s="6">
        <v>92.845006083621271</v>
      </c>
    </row>
    <row r="1868" spans="1:5" x14ac:dyDescent="0.3">
      <c r="A1868" s="4">
        <v>1865</v>
      </c>
      <c r="B1868" s="5">
        <v>82866.993454780473</v>
      </c>
      <c r="C1868" s="19">
        <v>2.9229092903032212</v>
      </c>
      <c r="D1868" s="5">
        <v>149633.54433693356</v>
      </c>
      <c r="E1868" s="6">
        <v>80.570741254884297</v>
      </c>
    </row>
    <row r="1869" spans="1:5" x14ac:dyDescent="0.3">
      <c r="A1869" s="4">
        <v>1866</v>
      </c>
      <c r="B1869" s="5">
        <v>44699.876069563317</v>
      </c>
      <c r="C1869" s="19">
        <v>-44.481619301103571</v>
      </c>
      <c r="D1869" s="5">
        <v>81505.267402062949</v>
      </c>
      <c r="E1869" s="6">
        <v>82.338911354523574</v>
      </c>
    </row>
    <row r="1870" spans="1:5" x14ac:dyDescent="0.3">
      <c r="A1870" s="4">
        <v>1867</v>
      </c>
      <c r="B1870" s="5">
        <v>42613.297560761828</v>
      </c>
      <c r="C1870" s="19">
        <v>-47.073202772822768</v>
      </c>
      <c r="D1870" s="5">
        <v>78502.963888996615</v>
      </c>
      <c r="E1870" s="6">
        <v>84.221753261549665</v>
      </c>
    </row>
    <row r="1871" spans="1:5" x14ac:dyDescent="0.3">
      <c r="A1871" s="4">
        <v>1868</v>
      </c>
      <c r="B1871" s="5">
        <v>97054.473046667525</v>
      </c>
      <c r="C1871" s="19">
        <v>20.544119065346429</v>
      </c>
      <c r="D1871" s="5">
        <v>176849.05275129096</v>
      </c>
      <c r="E1871" s="6">
        <v>82.216282464647591</v>
      </c>
    </row>
    <row r="1872" spans="1:5" x14ac:dyDescent="0.3">
      <c r="A1872" s="4">
        <v>1869</v>
      </c>
      <c r="B1872" s="5">
        <v>79730.376258723787</v>
      </c>
      <c r="C1872" s="19">
        <v>-0.9728488842021914</v>
      </c>
      <c r="D1872" s="5">
        <v>161991.6190396905</v>
      </c>
      <c r="E1872" s="6">
        <v>103.17428142321856</v>
      </c>
    </row>
    <row r="1873" spans="1:5" x14ac:dyDescent="0.3">
      <c r="A1873" s="4">
        <v>1870</v>
      </c>
      <c r="B1873" s="5">
        <v>82174.752713223832</v>
      </c>
      <c r="C1873" s="19">
        <v>2.0631287180882381</v>
      </c>
      <c r="D1873" s="5">
        <v>128384.94119891812</v>
      </c>
      <c r="E1873" s="6">
        <v>56.234046297602056</v>
      </c>
    </row>
    <row r="1874" spans="1:5" x14ac:dyDescent="0.3">
      <c r="A1874" s="4">
        <v>1871</v>
      </c>
      <c r="B1874" s="5">
        <v>177406.39659965568</v>
      </c>
      <c r="C1874" s="19">
        <v>120.34324769740483</v>
      </c>
      <c r="D1874" s="5">
        <v>291733.11102794111</v>
      </c>
      <c r="E1874" s="6">
        <v>64.443400361871355</v>
      </c>
    </row>
    <row r="1875" spans="1:5" x14ac:dyDescent="0.3">
      <c r="A1875" s="4">
        <v>1872</v>
      </c>
      <c r="B1875" s="5">
        <v>66993.641713366873</v>
      </c>
      <c r="C1875" s="19">
        <v>-16.792196487078414</v>
      </c>
      <c r="D1875" s="5">
        <v>117038.49847462142</v>
      </c>
      <c r="E1875" s="6">
        <v>74.700905162570635</v>
      </c>
    </row>
    <row r="1876" spans="1:5" x14ac:dyDescent="0.3">
      <c r="A1876" s="4">
        <v>1873</v>
      </c>
      <c r="B1876" s="5">
        <v>76981.429916743349</v>
      </c>
      <c r="C1876" s="19">
        <v>-4.3871100176648739</v>
      </c>
      <c r="D1876" s="5">
        <v>144337.38019527346</v>
      </c>
      <c r="E1876" s="6">
        <v>87.496361591849691</v>
      </c>
    </row>
    <row r="1877" spans="1:5" x14ac:dyDescent="0.3">
      <c r="A1877" s="4">
        <v>1874</v>
      </c>
      <c r="B1877" s="5">
        <v>101197.75650339166</v>
      </c>
      <c r="C1877" s="19">
        <v>25.690182287890334</v>
      </c>
      <c r="D1877" s="5">
        <v>169151.65155239266</v>
      </c>
      <c r="E1877" s="6">
        <v>67.149606272865853</v>
      </c>
    </row>
    <row r="1878" spans="1:5" x14ac:dyDescent="0.3">
      <c r="A1878" s="4">
        <v>1875</v>
      </c>
      <c r="B1878" s="5">
        <v>89791.427259172968</v>
      </c>
      <c r="C1878" s="19">
        <v>11.523231838811036</v>
      </c>
      <c r="D1878" s="5">
        <v>171653.57224838733</v>
      </c>
      <c r="E1878" s="6">
        <v>91.169221258649088</v>
      </c>
    </row>
    <row r="1879" spans="1:5" x14ac:dyDescent="0.3">
      <c r="A1879" s="4">
        <v>1876</v>
      </c>
      <c r="B1879" s="5">
        <v>52788.025861390888</v>
      </c>
      <c r="C1879" s="19">
        <v>-34.435931957506206</v>
      </c>
      <c r="D1879" s="5">
        <v>94322.51912980109</v>
      </c>
      <c r="E1879" s="6">
        <v>78.681656664846969</v>
      </c>
    </row>
    <row r="1880" spans="1:5" x14ac:dyDescent="0.3">
      <c r="A1880" s="4">
        <v>1877</v>
      </c>
      <c r="B1880" s="5">
        <v>56965.247051751518</v>
      </c>
      <c r="C1880" s="19">
        <v>-29.247717208341591</v>
      </c>
      <c r="D1880" s="5">
        <v>101058.8934336775</v>
      </c>
      <c r="E1880" s="6">
        <v>77.404467923869433</v>
      </c>
    </row>
    <row r="1881" spans="1:5" x14ac:dyDescent="0.3">
      <c r="A1881" s="4">
        <v>1878</v>
      </c>
      <c r="B1881" s="5">
        <v>75748.106613218217</v>
      </c>
      <c r="C1881" s="19">
        <v>-5.9189288661862989</v>
      </c>
      <c r="D1881" s="5">
        <v>138090.46676430322</v>
      </c>
      <c r="E1881" s="6">
        <v>82.302202574402202</v>
      </c>
    </row>
    <row r="1882" spans="1:5" x14ac:dyDescent="0.3">
      <c r="A1882" s="4">
        <v>1879</v>
      </c>
      <c r="B1882" s="5">
        <v>66231.316667532534</v>
      </c>
      <c r="C1882" s="19">
        <v>-17.73902354416175</v>
      </c>
      <c r="D1882" s="5">
        <v>120952.68786778723</v>
      </c>
      <c r="E1882" s="6">
        <v>82.621596479720651</v>
      </c>
    </row>
    <row r="1883" spans="1:5" x14ac:dyDescent="0.3">
      <c r="A1883" s="4">
        <v>1880</v>
      </c>
      <c r="B1883" s="5">
        <v>66582.14615431409</v>
      </c>
      <c r="C1883" s="19">
        <v>-17.303284416446374</v>
      </c>
      <c r="D1883" s="5">
        <v>137124.0293353693</v>
      </c>
      <c r="E1883" s="6">
        <v>105.94714537672583</v>
      </c>
    </row>
    <row r="1884" spans="1:5" x14ac:dyDescent="0.3">
      <c r="A1884" s="4">
        <v>1881</v>
      </c>
      <c r="B1884" s="5">
        <v>51529.03140542507</v>
      </c>
      <c r="C1884" s="19">
        <v>-35.999635028971859</v>
      </c>
      <c r="D1884" s="5">
        <v>95681.753126001058</v>
      </c>
      <c r="E1884" s="6">
        <v>85.685138098535091</v>
      </c>
    </row>
    <row r="1885" spans="1:5" x14ac:dyDescent="0.3">
      <c r="A1885" s="4">
        <v>1882</v>
      </c>
      <c r="B1885" s="5">
        <v>80357.717876258423</v>
      </c>
      <c r="C1885" s="19">
        <v>-0.19367467136215055</v>
      </c>
      <c r="D1885" s="5">
        <v>162110.36567343847</v>
      </c>
      <c r="E1885" s="6">
        <v>101.73590036873578</v>
      </c>
    </row>
    <row r="1886" spans="1:5" x14ac:dyDescent="0.3">
      <c r="A1886" s="4">
        <v>1883</v>
      </c>
      <c r="B1886" s="5">
        <v>47596.90510596583</v>
      </c>
      <c r="C1886" s="19">
        <v>-40.883435702373895</v>
      </c>
      <c r="D1886" s="5">
        <v>91917.347122723571</v>
      </c>
      <c r="E1886" s="6">
        <v>93.11622660777283</v>
      </c>
    </row>
    <row r="1887" spans="1:5" x14ac:dyDescent="0.3">
      <c r="A1887" s="4">
        <v>1884</v>
      </c>
      <c r="B1887" s="5">
        <v>44156.174994175715</v>
      </c>
      <c r="C1887" s="19">
        <v>-45.156909837542479</v>
      </c>
      <c r="D1887" s="5">
        <v>85247.654303535906</v>
      </c>
      <c r="E1887" s="6">
        <v>93.059417657395002</v>
      </c>
    </row>
    <row r="1888" spans="1:5" x14ac:dyDescent="0.3">
      <c r="A1888" s="4">
        <v>1885</v>
      </c>
      <c r="B1888" s="5">
        <v>47887.274028861619</v>
      </c>
      <c r="C1888" s="19">
        <v>-40.522790129679933</v>
      </c>
      <c r="D1888" s="5">
        <v>96915.54221062758</v>
      </c>
      <c r="E1888" s="6">
        <v>102.38266674402195</v>
      </c>
    </row>
    <row r="1889" spans="1:5" x14ac:dyDescent="0.3">
      <c r="A1889" s="4">
        <v>1886</v>
      </c>
      <c r="B1889" s="5">
        <v>39537.11677759709</v>
      </c>
      <c r="C1889" s="19">
        <v>-50.893897388454121</v>
      </c>
      <c r="D1889" s="5">
        <v>77647.678601661813</v>
      </c>
      <c r="E1889" s="6">
        <v>96.391858916883137</v>
      </c>
    </row>
    <row r="1890" spans="1:5" x14ac:dyDescent="0.3">
      <c r="A1890" s="4">
        <v>1887</v>
      </c>
      <c r="B1890" s="5">
        <v>61387.493418192826</v>
      </c>
      <c r="C1890" s="19">
        <v>-23.755174970991302</v>
      </c>
      <c r="D1890" s="5">
        <v>129534.67534043048</v>
      </c>
      <c r="E1890" s="6">
        <v>111.01150760138631</v>
      </c>
    </row>
    <row r="1891" spans="1:5" x14ac:dyDescent="0.3">
      <c r="A1891" s="4">
        <v>1888</v>
      </c>
      <c r="B1891" s="5">
        <v>79064.964339071244</v>
      </c>
      <c r="C1891" s="19">
        <v>-1.7993073786141702</v>
      </c>
      <c r="D1891" s="5">
        <v>150145.84658268795</v>
      </c>
      <c r="E1891" s="6">
        <v>89.901870996596315</v>
      </c>
    </row>
    <row r="1892" spans="1:5" x14ac:dyDescent="0.3">
      <c r="A1892" s="4">
        <v>1889</v>
      </c>
      <c r="B1892" s="5">
        <v>44479.168253840202</v>
      </c>
      <c r="C1892" s="19">
        <v>-44.755744010475667</v>
      </c>
      <c r="D1892" s="5">
        <v>87510.112154991511</v>
      </c>
      <c r="E1892" s="6">
        <v>96.744039042223193</v>
      </c>
    </row>
    <row r="1893" spans="1:5" x14ac:dyDescent="0.3">
      <c r="A1893" s="4">
        <v>1890</v>
      </c>
      <c r="B1893" s="5">
        <v>91505.7968744994</v>
      </c>
      <c r="C1893" s="19">
        <v>13.652522417026352</v>
      </c>
      <c r="D1893" s="5">
        <v>194349.64619576742</v>
      </c>
      <c r="E1893" s="6">
        <v>112.3905291621238</v>
      </c>
    </row>
    <row r="1894" spans="1:5" x14ac:dyDescent="0.3">
      <c r="A1894" s="4">
        <v>1891</v>
      </c>
      <c r="B1894" s="5">
        <v>27537.844493413104</v>
      </c>
      <c r="C1894" s="19">
        <v>-65.797298143890515</v>
      </c>
      <c r="D1894" s="5">
        <v>59645.52256369598</v>
      </c>
      <c r="E1894" s="6">
        <v>116.5947395699865</v>
      </c>
    </row>
    <row r="1895" spans="1:5" x14ac:dyDescent="0.3">
      <c r="A1895" s="4">
        <v>1892</v>
      </c>
      <c r="B1895" s="5">
        <v>51699.694523307939</v>
      </c>
      <c r="C1895" s="19">
        <v>-35.78766710460588</v>
      </c>
      <c r="D1895" s="5">
        <v>95759.721272142982</v>
      </c>
      <c r="E1895" s="6">
        <v>85.222992427878509</v>
      </c>
    </row>
    <row r="1896" spans="1:5" x14ac:dyDescent="0.3">
      <c r="A1896" s="4">
        <v>1893</v>
      </c>
      <c r="B1896" s="5">
        <v>68179.066773883431</v>
      </c>
      <c r="C1896" s="19">
        <v>-15.319868472178538</v>
      </c>
      <c r="D1896" s="5">
        <v>120863.6897349488</v>
      </c>
      <c r="E1896" s="6">
        <v>77.273898652491766</v>
      </c>
    </row>
    <row r="1897" spans="1:5" x14ac:dyDescent="0.3">
      <c r="A1897" s="4">
        <v>1894</v>
      </c>
      <c r="B1897" s="5">
        <v>100362.49038848873</v>
      </c>
      <c r="C1897" s="19">
        <v>24.652760571554865</v>
      </c>
      <c r="D1897" s="5">
        <v>184146.09588810679</v>
      </c>
      <c r="E1897" s="6">
        <v>83.480994916829786</v>
      </c>
    </row>
    <row r="1898" spans="1:5" x14ac:dyDescent="0.3">
      <c r="A1898" s="4">
        <v>1895</v>
      </c>
      <c r="B1898" s="5">
        <v>56224.356187473204</v>
      </c>
      <c r="C1898" s="19">
        <v>-30.167922467866816</v>
      </c>
      <c r="D1898" s="5">
        <v>101419.08036646678</v>
      </c>
      <c r="E1898" s="6">
        <v>80.38282204299027</v>
      </c>
    </row>
    <row r="1899" spans="1:5" x14ac:dyDescent="0.3">
      <c r="A1899" s="4">
        <v>1896</v>
      </c>
      <c r="B1899" s="5">
        <v>30971.966023247958</v>
      </c>
      <c r="C1899" s="19">
        <v>-61.53203203525652</v>
      </c>
      <c r="D1899" s="5">
        <v>61154.521469773936</v>
      </c>
      <c r="E1899" s="6">
        <v>97.451209341604468</v>
      </c>
    </row>
    <row r="1900" spans="1:5" x14ac:dyDescent="0.3">
      <c r="A1900" s="4">
        <v>1897</v>
      </c>
      <c r="B1900" s="5">
        <v>68242.020247090215</v>
      </c>
      <c r="C1900" s="19">
        <v>-15.241678660502711</v>
      </c>
      <c r="D1900" s="5">
        <v>139330.11240390001</v>
      </c>
      <c r="E1900" s="6">
        <v>104.170556351372</v>
      </c>
    </row>
    <row r="1901" spans="1:5" x14ac:dyDescent="0.3">
      <c r="A1901" s="4">
        <v>1898</v>
      </c>
      <c r="B1901" s="5">
        <v>55724.688374023121</v>
      </c>
      <c r="C1901" s="19">
        <v>-30.788522575279547</v>
      </c>
      <c r="D1901" s="5">
        <v>106617.06438284238</v>
      </c>
      <c r="E1901" s="6">
        <v>91.328237974576965</v>
      </c>
    </row>
    <row r="1902" spans="1:5" x14ac:dyDescent="0.3">
      <c r="A1902" s="4">
        <v>1899</v>
      </c>
      <c r="B1902" s="5">
        <v>67931.067654112936</v>
      </c>
      <c r="C1902" s="19">
        <v>-15.627889673914815</v>
      </c>
      <c r="D1902" s="5">
        <v>116684.98545379686</v>
      </c>
      <c r="E1902" s="6">
        <v>71.76969166438839</v>
      </c>
    </row>
    <row r="1903" spans="1:5" x14ac:dyDescent="0.3">
      <c r="A1903" s="4">
        <v>1900</v>
      </c>
      <c r="B1903" s="5">
        <v>59268.647727420321</v>
      </c>
      <c r="C1903" s="19">
        <v>-26.386835101758937</v>
      </c>
      <c r="D1903" s="5">
        <v>105419.09314100452</v>
      </c>
      <c r="E1903" s="6">
        <v>77.866540208294538</v>
      </c>
    </row>
    <row r="1904" spans="1:5" x14ac:dyDescent="0.3">
      <c r="A1904" s="4">
        <v>1901</v>
      </c>
      <c r="B1904" s="5">
        <v>32044.884718046993</v>
      </c>
      <c r="C1904" s="19">
        <v>-60.199439782335816</v>
      </c>
      <c r="D1904" s="5">
        <v>65620.506724677005</v>
      </c>
      <c r="E1904" s="6">
        <v>104.77685378509396</v>
      </c>
    </row>
    <row r="1905" spans="1:5" x14ac:dyDescent="0.3">
      <c r="A1905" s="4">
        <v>1902</v>
      </c>
      <c r="B1905" s="5">
        <v>102356.88041503965</v>
      </c>
      <c r="C1905" s="19">
        <v>27.129843608291292</v>
      </c>
      <c r="D1905" s="5">
        <v>196543.79175447099</v>
      </c>
      <c r="E1905" s="6">
        <v>92.01815350127859</v>
      </c>
    </row>
    <row r="1906" spans="1:5" x14ac:dyDescent="0.3">
      <c r="A1906" s="4">
        <v>1903</v>
      </c>
      <c r="B1906" s="5">
        <v>54764.981030656105</v>
      </c>
      <c r="C1906" s="19">
        <v>-31.98050345606898</v>
      </c>
      <c r="D1906" s="5">
        <v>102725.87510308692</v>
      </c>
      <c r="E1906" s="6">
        <v>87.575843485791523</v>
      </c>
    </row>
    <row r="1907" spans="1:5" x14ac:dyDescent="0.3">
      <c r="A1907" s="4">
        <v>1904</v>
      </c>
      <c r="B1907" s="5">
        <v>59614.092348018712</v>
      </c>
      <c r="C1907" s="19">
        <v>-25.957784114527538</v>
      </c>
      <c r="D1907" s="5">
        <v>99258.315472984788</v>
      </c>
      <c r="E1907" s="6">
        <v>66.501428711735912</v>
      </c>
    </row>
    <row r="1908" spans="1:5" x14ac:dyDescent="0.3">
      <c r="A1908" s="4">
        <v>1905</v>
      </c>
      <c r="B1908" s="5">
        <v>58117.580444245235</v>
      </c>
      <c r="C1908" s="19">
        <v>-27.816489885094519</v>
      </c>
      <c r="D1908" s="5">
        <v>113678.79767637431</v>
      </c>
      <c r="E1908" s="6">
        <v>95.601394289687263</v>
      </c>
    </row>
    <row r="1909" spans="1:5" x14ac:dyDescent="0.3">
      <c r="A1909" s="4">
        <v>1906</v>
      </c>
      <c r="B1909" s="5">
        <v>133267.73727619526</v>
      </c>
      <c r="C1909" s="19">
        <v>65.521912442577374</v>
      </c>
      <c r="D1909" s="5">
        <v>297174.93650463759</v>
      </c>
      <c r="E1909" s="6">
        <v>122.99090731070739</v>
      </c>
    </row>
    <row r="1910" spans="1:5" x14ac:dyDescent="0.3">
      <c r="A1910" s="4">
        <v>1907</v>
      </c>
      <c r="B1910" s="5">
        <v>77597.482982627727</v>
      </c>
      <c r="C1910" s="19">
        <v>-3.6219564725126543</v>
      </c>
      <c r="D1910" s="5">
        <v>140807.96026619765</v>
      </c>
      <c r="E1910" s="6">
        <v>81.459442824609766</v>
      </c>
    </row>
    <row r="1911" spans="1:5" x14ac:dyDescent="0.3">
      <c r="A1911" s="4">
        <v>1908</v>
      </c>
      <c r="B1911" s="5">
        <v>64693.583542198525</v>
      </c>
      <c r="C1911" s="19">
        <v>-19.648927118228446</v>
      </c>
      <c r="D1911" s="5">
        <v>129034.92031497009</v>
      </c>
      <c r="E1911" s="6">
        <v>99.455515137452238</v>
      </c>
    </row>
    <row r="1912" spans="1:5" x14ac:dyDescent="0.3">
      <c r="A1912" s="4">
        <v>1909</v>
      </c>
      <c r="B1912" s="5">
        <v>84743.948042507633</v>
      </c>
      <c r="C1912" s="19">
        <v>5.2541345311474883</v>
      </c>
      <c r="D1912" s="5">
        <v>173751.71293064489</v>
      </c>
      <c r="E1912" s="6">
        <v>105.03141161595504</v>
      </c>
    </row>
    <row r="1913" spans="1:5" x14ac:dyDescent="0.3">
      <c r="A1913" s="4">
        <v>1910</v>
      </c>
      <c r="B1913" s="5">
        <v>36460.506088321796</v>
      </c>
      <c r="C1913" s="19">
        <v>-54.715125958387119</v>
      </c>
      <c r="D1913" s="5">
        <v>71552.621875269862</v>
      </c>
      <c r="E1913" s="6">
        <v>96.246924554313793</v>
      </c>
    </row>
    <row r="1914" spans="1:5" x14ac:dyDescent="0.3">
      <c r="A1914" s="4">
        <v>1911</v>
      </c>
      <c r="B1914" s="5">
        <v>46825.128948787642</v>
      </c>
      <c r="C1914" s="19">
        <v>-41.842001279644606</v>
      </c>
      <c r="D1914" s="5">
        <v>75967.395753878664</v>
      </c>
      <c r="E1914" s="6">
        <v>62.236383453345624</v>
      </c>
    </row>
    <row r="1915" spans="1:5" x14ac:dyDescent="0.3">
      <c r="A1915" s="4">
        <v>1912</v>
      </c>
      <c r="B1915" s="5">
        <v>69099.522870234854</v>
      </c>
      <c r="C1915" s="19">
        <v>-14.176638636499989</v>
      </c>
      <c r="D1915" s="5">
        <v>137572.11209340746</v>
      </c>
      <c r="E1915" s="6">
        <v>99.092709151929171</v>
      </c>
    </row>
    <row r="1916" spans="1:5" x14ac:dyDescent="0.3">
      <c r="A1916" s="4">
        <v>1913</v>
      </c>
      <c r="B1916" s="5">
        <v>44476.332317366505</v>
      </c>
      <c r="C1916" s="19">
        <v>-44.759266315560794</v>
      </c>
      <c r="D1916" s="5">
        <v>85502.460380011442</v>
      </c>
      <c r="E1916" s="6">
        <v>92.242606179614356</v>
      </c>
    </row>
    <row r="1917" spans="1:5" x14ac:dyDescent="0.3">
      <c r="A1917" s="4">
        <v>1914</v>
      </c>
      <c r="B1917" s="5">
        <v>64370.99341220878</v>
      </c>
      <c r="C1917" s="19">
        <v>-20.049592248006558</v>
      </c>
      <c r="D1917" s="5">
        <v>121312.08309711465</v>
      </c>
      <c r="E1917" s="6">
        <v>88.457683603351484</v>
      </c>
    </row>
    <row r="1918" spans="1:5" x14ac:dyDescent="0.3">
      <c r="A1918" s="4">
        <v>1915</v>
      </c>
      <c r="B1918" s="5">
        <v>49654.267171300518</v>
      </c>
      <c r="C1918" s="19">
        <v>-38.328139795043768</v>
      </c>
      <c r="D1918" s="5">
        <v>107748.25964727539</v>
      </c>
      <c r="E1918" s="6">
        <v>116.99697888110691</v>
      </c>
    </row>
    <row r="1919" spans="1:5" x14ac:dyDescent="0.3">
      <c r="A1919" s="4">
        <v>1916</v>
      </c>
      <c r="B1919" s="5">
        <v>71857.002171434593</v>
      </c>
      <c r="C1919" s="19">
        <v>-10.751779351094154</v>
      </c>
      <c r="D1919" s="5">
        <v>126718.78197457598</v>
      </c>
      <c r="E1919" s="6">
        <v>76.348550795722815</v>
      </c>
    </row>
    <row r="1920" spans="1:5" x14ac:dyDescent="0.3">
      <c r="A1920" s="4">
        <v>1917</v>
      </c>
      <c r="B1920" s="5">
        <v>54006.620833383706</v>
      </c>
      <c r="C1920" s="19">
        <v>-32.922406070598321</v>
      </c>
      <c r="D1920" s="5">
        <v>113157.15270075263</v>
      </c>
      <c r="E1920" s="6">
        <v>109.52459338245721</v>
      </c>
    </row>
    <row r="1921" spans="1:5" x14ac:dyDescent="0.3">
      <c r="A1921" s="4">
        <v>1918</v>
      </c>
      <c r="B1921" s="5">
        <v>71864.362562834649</v>
      </c>
      <c r="C1921" s="19">
        <v>-10.742637558145885</v>
      </c>
      <c r="D1921" s="5">
        <v>126951.15234176212</v>
      </c>
      <c r="E1921" s="6">
        <v>76.653834827745541</v>
      </c>
    </row>
    <row r="1922" spans="1:5" x14ac:dyDescent="0.3">
      <c r="A1922" s="4">
        <v>1919</v>
      </c>
      <c r="B1922" s="5">
        <v>67205.010171004993</v>
      </c>
      <c r="C1922" s="19">
        <v>-16.52967149750955</v>
      </c>
      <c r="D1922" s="5">
        <v>136409.9805079393</v>
      </c>
      <c r="E1922" s="6">
        <v>102.97590932705813</v>
      </c>
    </row>
    <row r="1923" spans="1:5" x14ac:dyDescent="0.3">
      <c r="A1923" s="4">
        <v>1920</v>
      </c>
      <c r="B1923" s="5">
        <v>100062.34793002786</v>
      </c>
      <c r="C1923" s="19">
        <v>24.279976019606636</v>
      </c>
      <c r="D1923" s="5">
        <v>180067.12486877589</v>
      </c>
      <c r="E1923" s="6">
        <v>79.954926696997163</v>
      </c>
    </row>
    <row r="1924" spans="1:5" x14ac:dyDescent="0.3">
      <c r="A1924" s="4">
        <v>1921</v>
      </c>
      <c r="B1924" s="5">
        <v>51610.300235021045</v>
      </c>
      <c r="C1924" s="19">
        <v>-35.89869707976051</v>
      </c>
      <c r="D1924" s="5">
        <v>96200.762328123645</v>
      </c>
      <c r="E1924" s="6">
        <v>86.39837763014016</v>
      </c>
    </row>
    <row r="1925" spans="1:5" x14ac:dyDescent="0.3">
      <c r="A1925" s="4">
        <v>1922</v>
      </c>
      <c r="B1925" s="5">
        <v>45714.663446573053</v>
      </c>
      <c r="C1925" s="19">
        <v>-43.221227620429019</v>
      </c>
      <c r="D1925" s="5">
        <v>89699.650855619344</v>
      </c>
      <c r="E1925" s="6">
        <v>96.216364931684907</v>
      </c>
    </row>
    <row r="1926" spans="1:5" x14ac:dyDescent="0.3">
      <c r="A1926" s="4">
        <v>1923</v>
      </c>
      <c r="B1926" s="5">
        <v>89237.484580224467</v>
      </c>
      <c r="C1926" s="19">
        <v>10.835220970786052</v>
      </c>
      <c r="D1926" s="5">
        <v>153223.3768192454</v>
      </c>
      <c r="E1926" s="6">
        <v>71.702931273794064</v>
      </c>
    </row>
    <row r="1927" spans="1:5" x14ac:dyDescent="0.3">
      <c r="A1927" s="4">
        <v>1924</v>
      </c>
      <c r="B1927" s="5">
        <v>85514.526593080824</v>
      </c>
      <c r="C1927" s="19">
        <v>6.2112126506158445</v>
      </c>
      <c r="D1927" s="5">
        <v>145060.65985225781</v>
      </c>
      <c r="E1927" s="6">
        <v>69.632769579051853</v>
      </c>
    </row>
    <row r="1928" spans="1:5" x14ac:dyDescent="0.3">
      <c r="A1928" s="4">
        <v>1925</v>
      </c>
      <c r="B1928" s="5">
        <v>35731.120826304483</v>
      </c>
      <c r="C1928" s="19">
        <v>-55.621040967856572</v>
      </c>
      <c r="D1928" s="5">
        <v>78379.908465279819</v>
      </c>
      <c r="E1928" s="6">
        <v>119.36034093724319</v>
      </c>
    </row>
    <row r="1929" spans="1:5" x14ac:dyDescent="0.3">
      <c r="A1929" s="4">
        <v>1926</v>
      </c>
      <c r="B1929" s="5">
        <v>75871.723831093273</v>
      </c>
      <c r="C1929" s="19">
        <v>-5.7653931437998356</v>
      </c>
      <c r="D1929" s="5">
        <v>135976.9334134309</v>
      </c>
      <c r="E1929" s="6">
        <v>79.219512286480693</v>
      </c>
    </row>
    <row r="1930" spans="1:5" x14ac:dyDescent="0.3">
      <c r="A1930" s="4">
        <v>1927</v>
      </c>
      <c r="B1930" s="5">
        <v>117517.41507867069</v>
      </c>
      <c r="C1930" s="19">
        <v>45.959612481574588</v>
      </c>
      <c r="D1930" s="5">
        <v>183750.81219137795</v>
      </c>
      <c r="E1930" s="6">
        <v>56.360495223936013</v>
      </c>
    </row>
    <row r="1931" spans="1:5" x14ac:dyDescent="0.3">
      <c r="A1931" s="4">
        <v>1928</v>
      </c>
      <c r="B1931" s="5">
        <v>80409.701353813114</v>
      </c>
      <c r="C1931" s="19">
        <v>-0.12910987273849087</v>
      </c>
      <c r="D1931" s="5">
        <v>138830.61228944638</v>
      </c>
      <c r="E1931" s="6">
        <v>72.654057846296027</v>
      </c>
    </row>
    <row r="1932" spans="1:5" x14ac:dyDescent="0.3">
      <c r="A1932" s="4">
        <v>1929</v>
      </c>
      <c r="B1932" s="5">
        <v>53093.458610931164</v>
      </c>
      <c r="C1932" s="19">
        <v>-34.05657672975348</v>
      </c>
      <c r="D1932" s="5">
        <v>108617.65151773936</v>
      </c>
      <c r="E1932" s="6">
        <v>104.57821803188496</v>
      </c>
    </row>
    <row r="1933" spans="1:5" x14ac:dyDescent="0.3">
      <c r="A1933" s="4">
        <v>1930</v>
      </c>
      <c r="B1933" s="5">
        <v>28517.167216642931</v>
      </c>
      <c r="C1933" s="19">
        <v>-64.580954463412723</v>
      </c>
      <c r="D1933" s="5">
        <v>52171.874058208705</v>
      </c>
      <c r="E1933" s="6">
        <v>82.949006336648438</v>
      </c>
    </row>
    <row r="1934" spans="1:5" x14ac:dyDescent="0.3">
      <c r="A1934" s="4">
        <v>1931</v>
      </c>
      <c r="B1934" s="5">
        <v>44200.489559850626</v>
      </c>
      <c r="C1934" s="19">
        <v>-45.101870022134108</v>
      </c>
      <c r="D1934" s="5">
        <v>91765.64312859987</v>
      </c>
      <c r="E1934" s="6">
        <v>107.61227769738302</v>
      </c>
    </row>
    <row r="1935" spans="1:5" x14ac:dyDescent="0.3">
      <c r="A1935" s="4">
        <v>1932</v>
      </c>
      <c r="B1935" s="5">
        <v>58151.114962295374</v>
      </c>
      <c r="C1935" s="19">
        <v>-27.774839162466915</v>
      </c>
      <c r="D1935" s="5">
        <v>98655.772459022584</v>
      </c>
      <c r="E1935" s="6">
        <v>69.654137367770232</v>
      </c>
    </row>
    <row r="1936" spans="1:5" x14ac:dyDescent="0.3">
      <c r="A1936" s="4">
        <v>1933</v>
      </c>
      <c r="B1936" s="5">
        <v>50536.990849390859</v>
      </c>
      <c r="C1936" s="19">
        <v>-37.231774580610448</v>
      </c>
      <c r="D1936" s="5">
        <v>96655.126815866912</v>
      </c>
      <c r="E1936" s="6">
        <v>91.256197077337333</v>
      </c>
    </row>
    <row r="1937" spans="1:5" x14ac:dyDescent="0.3">
      <c r="A1937" s="4">
        <v>1934</v>
      </c>
      <c r="B1937" s="5">
        <v>77166.19644128764</v>
      </c>
      <c r="C1937" s="19">
        <v>-4.15762530423752</v>
      </c>
      <c r="D1937" s="5">
        <v>137938.00894812783</v>
      </c>
      <c r="E1937" s="6">
        <v>78.754448592109611</v>
      </c>
    </row>
    <row r="1938" spans="1:5" x14ac:dyDescent="0.3">
      <c r="A1938" s="4">
        <v>1935</v>
      </c>
      <c r="B1938" s="5">
        <v>61911.517649165311</v>
      </c>
      <c r="C1938" s="19">
        <v>-23.104323574774867</v>
      </c>
      <c r="D1938" s="5">
        <v>130189.0486094466</v>
      </c>
      <c r="E1938" s="6">
        <v>110.28243782875803</v>
      </c>
    </row>
    <row r="1939" spans="1:5" x14ac:dyDescent="0.3">
      <c r="A1939" s="4">
        <v>1936</v>
      </c>
      <c r="B1939" s="5">
        <v>76068.484110599733</v>
      </c>
      <c r="C1939" s="19">
        <v>-5.5210118822710355</v>
      </c>
      <c r="D1939" s="5">
        <v>150362.74508964116</v>
      </c>
      <c r="E1939" s="6">
        <v>97.667597622980523</v>
      </c>
    </row>
    <row r="1940" spans="1:5" x14ac:dyDescent="0.3">
      <c r="A1940" s="4">
        <v>1937</v>
      </c>
      <c r="B1940" s="5">
        <v>60129.701764383666</v>
      </c>
      <c r="C1940" s="19">
        <v>-25.317384131647565</v>
      </c>
      <c r="D1940" s="5">
        <v>113264.4179192881</v>
      </c>
      <c r="E1940" s="6">
        <v>88.366838011455854</v>
      </c>
    </row>
    <row r="1941" spans="1:5" x14ac:dyDescent="0.3">
      <c r="A1941" s="4">
        <v>1938</v>
      </c>
      <c r="B1941" s="5">
        <v>35648.144498702626</v>
      </c>
      <c r="C1941" s="19">
        <v>-55.72409967293278</v>
      </c>
      <c r="D1941" s="5">
        <v>76908.738962509597</v>
      </c>
      <c r="E1941" s="6">
        <v>115.74401709830538</v>
      </c>
    </row>
    <row r="1942" spans="1:5" x14ac:dyDescent="0.3">
      <c r="A1942" s="4">
        <v>1939</v>
      </c>
      <c r="B1942" s="5">
        <v>45637.992943301942</v>
      </c>
      <c r="C1942" s="19">
        <v>-43.316454331625202</v>
      </c>
      <c r="D1942" s="5">
        <v>85483.802496314704</v>
      </c>
      <c r="E1942" s="6">
        <v>87.308417796801322</v>
      </c>
    </row>
    <row r="1943" spans="1:5" x14ac:dyDescent="0.3">
      <c r="A1943" s="4">
        <v>1940</v>
      </c>
      <c r="B1943" s="5">
        <v>94656.924918717283</v>
      </c>
      <c r="C1943" s="19">
        <v>17.56630343327798</v>
      </c>
      <c r="D1943" s="5">
        <v>147364.00576429555</v>
      </c>
      <c r="E1943" s="6">
        <v>55.682223874099321</v>
      </c>
    </row>
    <row r="1944" spans="1:5" x14ac:dyDescent="0.3">
      <c r="A1944" s="4">
        <v>1941</v>
      </c>
      <c r="B1944" s="5">
        <v>61752.316972095963</v>
      </c>
      <c r="C1944" s="19">
        <v>-23.302054856698405</v>
      </c>
      <c r="D1944" s="5">
        <v>115991.44771174213</v>
      </c>
      <c r="E1944" s="6">
        <v>87.833353304225369</v>
      </c>
    </row>
    <row r="1945" spans="1:5" x14ac:dyDescent="0.3">
      <c r="A1945" s="4">
        <v>1942</v>
      </c>
      <c r="B1945" s="5">
        <v>38855.905491918136</v>
      </c>
      <c r="C1945" s="19">
        <v>-51.739979096507462</v>
      </c>
      <c r="D1945" s="5">
        <v>67300.046073650752</v>
      </c>
      <c r="E1945" s="6">
        <v>73.204163489765733</v>
      </c>
    </row>
    <row r="1946" spans="1:5" x14ac:dyDescent="0.3">
      <c r="A1946" s="4">
        <v>1943</v>
      </c>
      <c r="B1946" s="5">
        <v>166696.5955557269</v>
      </c>
      <c r="C1946" s="19">
        <v>107.04140295311615</v>
      </c>
      <c r="D1946" s="5">
        <v>241142.31065632755</v>
      </c>
      <c r="E1946" s="6">
        <v>44.659409421299998</v>
      </c>
    </row>
    <row r="1947" spans="1:5" x14ac:dyDescent="0.3">
      <c r="A1947" s="4">
        <v>1944</v>
      </c>
      <c r="B1947" s="5">
        <v>73456.738265968364</v>
      </c>
      <c r="C1947" s="19">
        <v>-8.7648665154550702</v>
      </c>
      <c r="D1947" s="5">
        <v>133897.19200917057</v>
      </c>
      <c r="E1947" s="6">
        <v>82.280339652929499</v>
      </c>
    </row>
    <row r="1948" spans="1:5" x14ac:dyDescent="0.3">
      <c r="A1948" s="4">
        <v>1945</v>
      </c>
      <c r="B1948" s="5">
        <v>108161.24578938528</v>
      </c>
      <c r="C1948" s="19">
        <v>34.339012735895139</v>
      </c>
      <c r="D1948" s="5">
        <v>203336.07319359787</v>
      </c>
      <c r="E1948" s="6">
        <v>87.993464488694755</v>
      </c>
    </row>
    <row r="1949" spans="1:5" x14ac:dyDescent="0.3">
      <c r="A1949" s="4">
        <v>1946</v>
      </c>
      <c r="B1949" s="5">
        <v>39280.925745926419</v>
      </c>
      <c r="C1949" s="19">
        <v>-51.212093152706359</v>
      </c>
      <c r="D1949" s="5">
        <v>73950.67164638509</v>
      </c>
      <c r="E1949" s="6">
        <v>88.261020437009577</v>
      </c>
    </row>
    <row r="1950" spans="1:5" x14ac:dyDescent="0.3">
      <c r="A1950" s="4">
        <v>1947</v>
      </c>
      <c r="B1950" s="5">
        <v>69622.15204972653</v>
      </c>
      <c r="C1950" s="19">
        <v>-13.527519929633423</v>
      </c>
      <c r="D1950" s="5">
        <v>131774.04314605409</v>
      </c>
      <c r="E1950" s="6">
        <v>89.270281464348514</v>
      </c>
    </row>
    <row r="1951" spans="1:5" x14ac:dyDescent="0.3">
      <c r="A1951" s="4">
        <v>1948</v>
      </c>
      <c r="B1951" s="5">
        <v>91954.088935714346</v>
      </c>
      <c r="C1951" s="19">
        <v>14.209312536088254</v>
      </c>
      <c r="D1951" s="5">
        <v>194860.12888984208</v>
      </c>
      <c r="E1951" s="6">
        <v>111.91023819078885</v>
      </c>
    </row>
    <row r="1952" spans="1:5" x14ac:dyDescent="0.3">
      <c r="A1952" s="4">
        <v>1949</v>
      </c>
      <c r="B1952" s="5">
        <v>35958.866752437869</v>
      </c>
      <c r="C1952" s="19">
        <v>-55.338174746706002</v>
      </c>
      <c r="D1952" s="5">
        <v>75603.133050583798</v>
      </c>
      <c r="E1952" s="6">
        <v>110.24893128885438</v>
      </c>
    </row>
    <row r="1953" spans="1:5" x14ac:dyDescent="0.3">
      <c r="A1953" s="4">
        <v>1950</v>
      </c>
      <c r="B1953" s="5">
        <v>68600.019744899168</v>
      </c>
      <c r="C1953" s="19">
        <v>-14.79703419709435</v>
      </c>
      <c r="D1953" s="5">
        <v>125016.82644331633</v>
      </c>
      <c r="E1953" s="6">
        <v>82.240219329692096</v>
      </c>
    </row>
    <row r="1954" spans="1:5" x14ac:dyDescent="0.3">
      <c r="A1954" s="4">
        <v>1951</v>
      </c>
      <c r="B1954" s="5">
        <v>57424.270258384604</v>
      </c>
      <c r="C1954" s="19">
        <v>-28.677598734280846</v>
      </c>
      <c r="D1954" s="5">
        <v>92608.055252470585</v>
      </c>
      <c r="E1954" s="6">
        <v>61.269886122669092</v>
      </c>
    </row>
    <row r="1955" spans="1:5" x14ac:dyDescent="0.3">
      <c r="A1955" s="4">
        <v>1952</v>
      </c>
      <c r="B1955" s="5">
        <v>81209.033070521196</v>
      </c>
      <c r="C1955" s="19">
        <v>0.86368040891329612</v>
      </c>
      <c r="D1955" s="5">
        <v>156582.4809890661</v>
      </c>
      <c r="E1955" s="6">
        <v>92.814118169700748</v>
      </c>
    </row>
    <row r="1956" spans="1:5" x14ac:dyDescent="0.3">
      <c r="A1956" s="4">
        <v>1953</v>
      </c>
      <c r="B1956" s="5">
        <v>69593.729820833294</v>
      </c>
      <c r="C1956" s="19">
        <v>-13.562821059362513</v>
      </c>
      <c r="D1956" s="5">
        <v>116378.60544016522</v>
      </c>
      <c r="E1956" s="6">
        <v>67.225705160189008</v>
      </c>
    </row>
    <row r="1957" spans="1:5" x14ac:dyDescent="0.3">
      <c r="A1957" s="4">
        <v>1954</v>
      </c>
      <c r="B1957" s="5">
        <v>85075.321673968181</v>
      </c>
      <c r="C1957" s="19">
        <v>5.6657089927046531</v>
      </c>
      <c r="D1957" s="5">
        <v>157271.75862384131</v>
      </c>
      <c r="E1957" s="6">
        <v>84.861785450015162</v>
      </c>
    </row>
    <row r="1958" spans="1:5" x14ac:dyDescent="0.3">
      <c r="A1958" s="4">
        <v>1955</v>
      </c>
      <c r="B1958" s="5">
        <v>31574.07490338758</v>
      </c>
      <c r="C1958" s="19">
        <v>-60.784197522745664</v>
      </c>
      <c r="D1958" s="5">
        <v>56653.224903265727</v>
      </c>
      <c r="E1958" s="6">
        <v>79.429563895749823</v>
      </c>
    </row>
    <row r="1959" spans="1:5" x14ac:dyDescent="0.3">
      <c r="A1959" s="4">
        <v>1956</v>
      </c>
      <c r="B1959" s="5">
        <v>76011.034493222483</v>
      </c>
      <c r="C1959" s="19">
        <v>-5.5923657653017722</v>
      </c>
      <c r="D1959" s="5">
        <v>138309.12612176506</v>
      </c>
      <c r="E1959" s="6">
        <v>81.959273471139753</v>
      </c>
    </row>
    <row r="1960" spans="1:5" x14ac:dyDescent="0.3">
      <c r="A1960" s="4">
        <v>1957</v>
      </c>
      <c r="B1960" s="5">
        <v>68305.446389036631</v>
      </c>
      <c r="C1960" s="19">
        <v>-15.162901782254471</v>
      </c>
      <c r="D1960" s="5">
        <v>143228.71797915033</v>
      </c>
      <c r="E1960" s="6">
        <v>109.68857616914609</v>
      </c>
    </row>
    <row r="1961" spans="1:5" x14ac:dyDescent="0.3">
      <c r="A1961" s="4">
        <v>1958</v>
      </c>
      <c r="B1961" s="5">
        <v>97624.704325192957</v>
      </c>
      <c r="C1961" s="19">
        <v>21.252360787500777</v>
      </c>
      <c r="D1961" s="5">
        <v>188956.24563456781</v>
      </c>
      <c r="E1961" s="6">
        <v>93.55371874433007</v>
      </c>
    </row>
    <row r="1962" spans="1:5" x14ac:dyDescent="0.3">
      <c r="A1962" s="4">
        <v>1959</v>
      </c>
      <c r="B1962" s="5">
        <v>74408.767947319473</v>
      </c>
      <c r="C1962" s="19">
        <v>-7.5824214857720991</v>
      </c>
      <c r="D1962" s="5">
        <v>147971.62787171642</v>
      </c>
      <c r="E1962" s="6">
        <v>98.863160825991088</v>
      </c>
    </row>
    <row r="1963" spans="1:5" x14ac:dyDescent="0.3">
      <c r="A1963" s="4">
        <v>1960</v>
      </c>
      <c r="B1963" s="5">
        <v>101414.14590515922</v>
      </c>
      <c r="C1963" s="19">
        <v>25.958943417514991</v>
      </c>
      <c r="D1963" s="5">
        <v>208952.94027815404</v>
      </c>
      <c r="E1963" s="6">
        <v>106.03924473570309</v>
      </c>
    </row>
    <row r="1964" spans="1:5" x14ac:dyDescent="0.3">
      <c r="A1964" s="4">
        <v>1961</v>
      </c>
      <c r="B1964" s="5">
        <v>22342.606436206264</v>
      </c>
      <c r="C1964" s="19">
        <v>-72.249915682080982</v>
      </c>
      <c r="D1964" s="5">
        <v>40829.802370365862</v>
      </c>
      <c r="E1964" s="6">
        <v>82.744132771371909</v>
      </c>
    </row>
    <row r="1965" spans="1:5" x14ac:dyDescent="0.3">
      <c r="A1965" s="4">
        <v>1962</v>
      </c>
      <c r="B1965" s="5">
        <v>47253.551946311258</v>
      </c>
      <c r="C1965" s="19">
        <v>-41.309889042025354</v>
      </c>
      <c r="D1965" s="5">
        <v>89949.636076968527</v>
      </c>
      <c r="E1965" s="6">
        <v>90.355290495766099</v>
      </c>
    </row>
    <row r="1966" spans="1:5" x14ac:dyDescent="0.3">
      <c r="A1966" s="4">
        <v>1963</v>
      </c>
      <c r="B1966" s="5">
        <v>43879.304344288379</v>
      </c>
      <c r="C1966" s="19">
        <v>-45.500790212532216</v>
      </c>
      <c r="D1966" s="5">
        <v>82269.139711927201</v>
      </c>
      <c r="E1966" s="6">
        <v>87.489617124333236</v>
      </c>
    </row>
    <row r="1967" spans="1:5" x14ac:dyDescent="0.3">
      <c r="A1967" s="4">
        <v>1964</v>
      </c>
      <c r="B1967" s="5">
        <v>35785.724021955226</v>
      </c>
      <c r="C1967" s="19">
        <v>-55.553222412861103</v>
      </c>
      <c r="D1967" s="5">
        <v>85143.577552851013</v>
      </c>
      <c r="E1967" s="6">
        <v>137.92610008564813</v>
      </c>
    </row>
    <row r="1968" spans="1:5" x14ac:dyDescent="0.3">
      <c r="A1968" s="4">
        <v>1965</v>
      </c>
      <c r="B1968" s="5">
        <v>66433.235452850844</v>
      </c>
      <c r="C1968" s="19">
        <v>-17.48823528747587</v>
      </c>
      <c r="D1968" s="5">
        <v>119925.79538417731</v>
      </c>
      <c r="E1968" s="6">
        <v>80.520780851161959</v>
      </c>
    </row>
    <row r="1969" spans="1:5" x14ac:dyDescent="0.3">
      <c r="A1969" s="4">
        <v>1966</v>
      </c>
      <c r="B1969" s="5">
        <v>46165.188777719675</v>
      </c>
      <c r="C1969" s="19">
        <v>-42.661663723424709</v>
      </c>
      <c r="D1969" s="5">
        <v>94674.418610312539</v>
      </c>
      <c r="E1969" s="6">
        <v>105.07750778656941</v>
      </c>
    </row>
    <row r="1970" spans="1:5" x14ac:dyDescent="0.3">
      <c r="A1970" s="4">
        <v>1967</v>
      </c>
      <c r="B1970" s="5">
        <v>64822.313863680887</v>
      </c>
      <c r="C1970" s="19">
        <v>-19.489040791375395</v>
      </c>
      <c r="D1970" s="5">
        <v>132229.43972202993</v>
      </c>
      <c r="E1970" s="6">
        <v>103.98753429274976</v>
      </c>
    </row>
    <row r="1971" spans="1:5" x14ac:dyDescent="0.3">
      <c r="A1971" s="4">
        <v>1968</v>
      </c>
      <c r="B1971" s="5">
        <v>49451.604492626444</v>
      </c>
      <c r="C1971" s="19">
        <v>-38.579851986159817</v>
      </c>
      <c r="D1971" s="5">
        <v>96077.697215917375</v>
      </c>
      <c r="E1971" s="6">
        <v>94.286309214179667</v>
      </c>
    </row>
    <row r="1972" spans="1:5" x14ac:dyDescent="0.3">
      <c r="A1972" s="4">
        <v>1969</v>
      </c>
      <c r="B1972" s="5">
        <v>78535.890509249482</v>
      </c>
      <c r="C1972" s="19">
        <v>-2.4564305047757742</v>
      </c>
      <c r="D1972" s="5">
        <v>150483.60011085874</v>
      </c>
      <c r="E1972" s="6">
        <v>91.611248226867289</v>
      </c>
    </row>
    <row r="1973" spans="1:5" x14ac:dyDescent="0.3">
      <c r="A1973" s="4">
        <v>1970</v>
      </c>
      <c r="B1973" s="5">
        <v>66129.265030434777</v>
      </c>
      <c r="C1973" s="19">
        <v>-17.865774267821958</v>
      </c>
      <c r="D1973" s="5">
        <v>126046.63829435431</v>
      </c>
      <c r="E1973" s="6">
        <v>90.606440637656675</v>
      </c>
    </row>
    <row r="1974" spans="1:5" x14ac:dyDescent="0.3">
      <c r="A1974" s="4">
        <v>1971</v>
      </c>
      <c r="B1974" s="5">
        <v>57842.067974195415</v>
      </c>
      <c r="C1974" s="19">
        <v>-28.158683366251267</v>
      </c>
      <c r="D1974" s="5">
        <v>97296.706367110542</v>
      </c>
      <c r="E1974" s="6">
        <v>68.210974771020787</v>
      </c>
    </row>
    <row r="1975" spans="1:5" x14ac:dyDescent="0.3">
      <c r="A1975" s="4">
        <v>1972</v>
      </c>
      <c r="B1975" s="5">
        <v>74009.619501347755</v>
      </c>
      <c r="C1975" s="19">
        <v>-8.0781739872856271</v>
      </c>
      <c r="D1975" s="5">
        <v>137985.35572658668</v>
      </c>
      <c r="E1975" s="6">
        <v>86.442460664284184</v>
      </c>
    </row>
    <row r="1976" spans="1:5" x14ac:dyDescent="0.3">
      <c r="A1976" s="4">
        <v>1973</v>
      </c>
      <c r="B1976" s="5">
        <v>77791.525241439958</v>
      </c>
      <c r="C1976" s="19">
        <v>-3.3809510616778211</v>
      </c>
      <c r="D1976" s="5">
        <v>133739.71941639108</v>
      </c>
      <c r="E1976" s="6">
        <v>71.920680307148956</v>
      </c>
    </row>
    <row r="1977" spans="1:5" x14ac:dyDescent="0.3">
      <c r="A1977" s="4">
        <v>1974</v>
      </c>
      <c r="B1977" s="5">
        <v>65291.385423177948</v>
      </c>
      <c r="C1977" s="19">
        <v>-18.906442007999456</v>
      </c>
      <c r="D1977" s="5">
        <v>115403.17870450976</v>
      </c>
      <c r="E1977" s="6">
        <v>76.751003147717711</v>
      </c>
    </row>
    <row r="1978" spans="1:5" x14ac:dyDescent="0.3">
      <c r="A1978" s="4">
        <v>1975</v>
      </c>
      <c r="B1978" s="5">
        <v>78633.605820483688</v>
      </c>
      <c r="C1978" s="19">
        <v>-2.3350656079073975</v>
      </c>
      <c r="D1978" s="5">
        <v>110047.89025851393</v>
      </c>
      <c r="E1978" s="6">
        <v>39.950202092661719</v>
      </c>
    </row>
    <row r="1979" spans="1:5" x14ac:dyDescent="0.3">
      <c r="A1979" s="4">
        <v>1976</v>
      </c>
      <c r="B1979" s="5">
        <v>98597.661065228487</v>
      </c>
      <c r="C1979" s="19">
        <v>22.460797755262988</v>
      </c>
      <c r="D1979" s="5">
        <v>179657.23432973563</v>
      </c>
      <c r="E1979" s="6">
        <v>82.212470751087281</v>
      </c>
    </row>
    <row r="1980" spans="1:5" x14ac:dyDescent="0.3">
      <c r="A1980" s="4">
        <v>1977</v>
      </c>
      <c r="B1980" s="5">
        <v>83395.245053707782</v>
      </c>
      <c r="C1980" s="19">
        <v>3.5790111848231625</v>
      </c>
      <c r="D1980" s="5">
        <v>161335.6216854387</v>
      </c>
      <c r="E1980" s="6">
        <v>93.459017455415065</v>
      </c>
    </row>
    <row r="1981" spans="1:5" x14ac:dyDescent="0.3">
      <c r="A1981" s="4">
        <v>1978</v>
      </c>
      <c r="B1981" s="5">
        <v>47099.091209215068</v>
      </c>
      <c r="C1981" s="19">
        <v>-41.501733198187956</v>
      </c>
      <c r="D1981" s="5">
        <v>89736.045753348444</v>
      </c>
      <c r="E1981" s="6">
        <v>90.526066319919423</v>
      </c>
    </row>
    <row r="1982" spans="1:5" x14ac:dyDescent="0.3">
      <c r="A1982" s="4">
        <v>1979</v>
      </c>
      <c r="B1982" s="5">
        <v>37473.111298762495</v>
      </c>
      <c r="C1982" s="19">
        <v>-53.45744458398142</v>
      </c>
      <c r="D1982" s="5">
        <v>66876.276937097209</v>
      </c>
      <c r="E1982" s="6">
        <v>78.464703408029308</v>
      </c>
    </row>
    <row r="1983" spans="1:5" x14ac:dyDescent="0.3">
      <c r="A1983" s="4">
        <v>1980</v>
      </c>
      <c r="B1983" s="5">
        <v>67183.327693744286</v>
      </c>
      <c r="C1983" s="19">
        <v>-16.556601684635385</v>
      </c>
      <c r="D1983" s="5">
        <v>114799.85838628752</v>
      </c>
      <c r="E1983" s="6">
        <v>70.875516779406283</v>
      </c>
    </row>
    <row r="1984" spans="1:5" x14ac:dyDescent="0.3">
      <c r="A1984" s="4">
        <v>1981</v>
      </c>
      <c r="B1984" s="5">
        <v>79355.379766078331</v>
      </c>
      <c r="C1984" s="19">
        <v>-1.4386040466335561</v>
      </c>
      <c r="D1984" s="5">
        <v>145136.72837601983</v>
      </c>
      <c r="E1984" s="6">
        <v>82.894630211398407</v>
      </c>
    </row>
    <row r="1985" spans="1:5" x14ac:dyDescent="0.3">
      <c r="A1985" s="4">
        <v>1982</v>
      </c>
      <c r="B1985" s="5">
        <v>42032.443061862112</v>
      </c>
      <c r="C1985" s="19">
        <v>-47.794638804332017</v>
      </c>
      <c r="D1985" s="5">
        <v>89363.499449049239</v>
      </c>
      <c r="E1985" s="6">
        <v>112.60600845286741</v>
      </c>
    </row>
    <row r="1986" spans="1:5" x14ac:dyDescent="0.3">
      <c r="A1986" s="4">
        <v>1983</v>
      </c>
      <c r="B1986" s="5">
        <v>62480.666074792221</v>
      </c>
      <c r="C1986" s="19">
        <v>-22.397426783406626</v>
      </c>
      <c r="D1986" s="5">
        <v>120164.06373802203</v>
      </c>
      <c r="E1986" s="6">
        <v>92.3219954060351</v>
      </c>
    </row>
    <row r="1987" spans="1:5" x14ac:dyDescent="0.3">
      <c r="A1987" s="4">
        <v>1984</v>
      </c>
      <c r="B1987" s="5">
        <v>82144.264963653186</v>
      </c>
      <c r="C1987" s="19">
        <v>2.0252621592485305</v>
      </c>
      <c r="D1987" s="5">
        <v>140084.55376740373</v>
      </c>
      <c r="E1987" s="6">
        <v>70.53479488724831</v>
      </c>
    </row>
    <row r="1988" spans="1:5" x14ac:dyDescent="0.3">
      <c r="A1988" s="4">
        <v>1985</v>
      </c>
      <c r="B1988" s="5">
        <v>63934.575955333588</v>
      </c>
      <c r="C1988" s="19">
        <v>-20.591633807064461</v>
      </c>
      <c r="D1988" s="5">
        <v>128829.37061495762</v>
      </c>
      <c r="E1988" s="6">
        <v>101.50187702028597</v>
      </c>
    </row>
    <row r="1989" spans="1:5" x14ac:dyDescent="0.3">
      <c r="A1989" s="4">
        <v>1986</v>
      </c>
      <c r="B1989" s="5">
        <v>75316.658513553426</v>
      </c>
      <c r="C1989" s="19">
        <v>-6.4547983574512955</v>
      </c>
      <c r="D1989" s="5">
        <v>143325.67012131299</v>
      </c>
      <c r="E1989" s="6">
        <v>90.297436118360409</v>
      </c>
    </row>
    <row r="1990" spans="1:5" x14ac:dyDescent="0.3">
      <c r="A1990" s="4">
        <v>1987</v>
      </c>
      <c r="B1990" s="5">
        <v>85857.326431527763</v>
      </c>
      <c r="C1990" s="19">
        <v>6.6369787512824239</v>
      </c>
      <c r="D1990" s="5">
        <v>135445.17784679163</v>
      </c>
      <c r="E1990" s="6">
        <v>57.756109439082948</v>
      </c>
    </row>
    <row r="1991" spans="1:5" x14ac:dyDescent="0.3">
      <c r="A1991" s="4">
        <v>1988</v>
      </c>
      <c r="B1991" s="5">
        <v>62786.457403955203</v>
      </c>
      <c r="C1991" s="19">
        <v>-22.017626190660646</v>
      </c>
      <c r="D1991" s="5">
        <v>120547.42926769042</v>
      </c>
      <c r="E1991" s="6">
        <v>91.99590843629376</v>
      </c>
    </row>
    <row r="1992" spans="1:5" x14ac:dyDescent="0.3">
      <c r="A1992" s="4">
        <v>1989</v>
      </c>
      <c r="B1992" s="5">
        <v>130551.94609775895</v>
      </c>
      <c r="C1992" s="19">
        <v>62.148830863816642</v>
      </c>
      <c r="D1992" s="5">
        <v>205200.65372392262</v>
      </c>
      <c r="E1992" s="6">
        <v>57.179314332293274</v>
      </c>
    </row>
    <row r="1993" spans="1:5" x14ac:dyDescent="0.3">
      <c r="A1993" s="4">
        <v>1990</v>
      </c>
      <c r="B1993" s="5">
        <v>71862.020028394778</v>
      </c>
      <c r="C1993" s="19">
        <v>-10.745547045380944</v>
      </c>
      <c r="D1993" s="5">
        <v>127799.61406816407</v>
      </c>
      <c r="E1993" s="6">
        <v>77.840275040510576</v>
      </c>
    </row>
    <row r="1994" spans="1:5" x14ac:dyDescent="0.3">
      <c r="A1994" s="4">
        <v>1991</v>
      </c>
      <c r="B1994" s="5">
        <v>55957.930002264373</v>
      </c>
      <c r="C1994" s="19">
        <v>-30.498830552613171</v>
      </c>
      <c r="D1994" s="5">
        <v>113382.73000479527</v>
      </c>
      <c r="E1994" s="6">
        <v>102.62138002640049</v>
      </c>
    </row>
    <row r="1995" spans="1:5" x14ac:dyDescent="0.3">
      <c r="A1995" s="4">
        <v>1992</v>
      </c>
      <c r="B1995" s="5">
        <v>58817.229121298369</v>
      </c>
      <c r="C1995" s="19">
        <v>-26.947508468956677</v>
      </c>
      <c r="D1995" s="5">
        <v>92439.952437554006</v>
      </c>
      <c r="E1995" s="6">
        <v>57.164752264877563</v>
      </c>
    </row>
    <row r="1996" spans="1:5" x14ac:dyDescent="0.3">
      <c r="A1996" s="4">
        <v>1993</v>
      </c>
      <c r="B1996" s="5">
        <v>91278.790820226466</v>
      </c>
      <c r="C1996" s="19">
        <v>13.370575135506693</v>
      </c>
      <c r="D1996" s="5">
        <v>188623.30420643979</v>
      </c>
      <c r="E1996" s="6">
        <v>106.64527050750847</v>
      </c>
    </row>
    <row r="1997" spans="1:5" x14ac:dyDescent="0.3">
      <c r="A1997" s="4">
        <v>1994</v>
      </c>
      <c r="B1997" s="5">
        <v>182716.83789821443</v>
      </c>
      <c r="C1997" s="19">
        <v>126.93895058556738</v>
      </c>
      <c r="D1997" s="5">
        <v>393231.99240269966</v>
      </c>
      <c r="E1997" s="6">
        <v>115.21387789217124</v>
      </c>
    </row>
    <row r="1998" spans="1:5" x14ac:dyDescent="0.3">
      <c r="A1998" s="4">
        <v>1995</v>
      </c>
      <c r="B1998" s="5">
        <v>39251.643018353308</v>
      </c>
      <c r="C1998" s="19">
        <v>-51.248463043637962</v>
      </c>
      <c r="D1998" s="5">
        <v>83284.875958507371</v>
      </c>
      <c r="E1998" s="6">
        <v>112.18188476738406</v>
      </c>
    </row>
    <row r="1999" spans="1:5" x14ac:dyDescent="0.3">
      <c r="A1999" s="4">
        <v>1996</v>
      </c>
      <c r="B1999" s="5">
        <v>36826.137277254915</v>
      </c>
      <c r="C1999" s="19">
        <v>-54.261002740886724</v>
      </c>
      <c r="D1999" s="5">
        <v>64792.192491683352</v>
      </c>
      <c r="E1999" s="6">
        <v>75.940778159487365</v>
      </c>
    </row>
    <row r="2000" spans="1:5" x14ac:dyDescent="0.3">
      <c r="A2000" s="4">
        <v>1997</v>
      </c>
      <c r="B2000" s="5">
        <v>55822.679173754426</v>
      </c>
      <c r="C2000" s="19">
        <v>-30.666815514705025</v>
      </c>
      <c r="D2000" s="5">
        <v>111803.85347753311</v>
      </c>
      <c r="E2000" s="6">
        <v>100.28392605365808</v>
      </c>
    </row>
    <row r="2001" spans="1:5" x14ac:dyDescent="0.3">
      <c r="A2001" s="4">
        <v>1998</v>
      </c>
      <c r="B2001" s="5">
        <v>161482.95534918134</v>
      </c>
      <c r="C2001" s="19">
        <v>100.56592947834379</v>
      </c>
      <c r="D2001" s="5">
        <v>265761.12745926104</v>
      </c>
      <c r="E2001" s="6">
        <v>64.57534288036446</v>
      </c>
    </row>
    <row r="2002" spans="1:5" x14ac:dyDescent="0.3">
      <c r="A2002" s="4">
        <v>1999</v>
      </c>
      <c r="B2002" s="5">
        <v>35081.496031134717</v>
      </c>
      <c r="C2002" s="19">
        <v>-56.427891452935107</v>
      </c>
      <c r="D2002" s="5">
        <v>73354.254176541741</v>
      </c>
      <c r="E2002" s="6">
        <v>109.09671044655585</v>
      </c>
    </row>
    <row r="2003" spans="1:5" x14ac:dyDescent="0.3">
      <c r="A2003" s="4">
        <v>2000</v>
      </c>
      <c r="B2003" s="5">
        <v>103261.97399466427</v>
      </c>
      <c r="C2003" s="19">
        <v>28.253992808247176</v>
      </c>
      <c r="D2003" s="5">
        <v>196105.93303470078</v>
      </c>
      <c r="E2003" s="6">
        <v>89.911082897595904</v>
      </c>
    </row>
    <row r="2004" spans="1:5" x14ac:dyDescent="0.3">
      <c r="A2004" s="4">
        <v>2001</v>
      </c>
      <c r="B2004" s="5">
        <v>46555.925664524533</v>
      </c>
      <c r="C2004" s="19">
        <v>-42.176358591907693</v>
      </c>
      <c r="D2004" s="5">
        <v>102341.50029132822</v>
      </c>
      <c r="E2004" s="6">
        <v>119.82486403296267</v>
      </c>
    </row>
    <row r="2005" spans="1:5" x14ac:dyDescent="0.3">
      <c r="A2005" s="4">
        <v>2002</v>
      </c>
      <c r="B2005" s="5">
        <v>43775.423221020246</v>
      </c>
      <c r="C2005" s="19">
        <v>-45.629813204454024</v>
      </c>
      <c r="D2005" s="5">
        <v>90634.627757765265</v>
      </c>
      <c r="E2005" s="6">
        <v>107.04454940425107</v>
      </c>
    </row>
    <row r="2006" spans="1:5" x14ac:dyDescent="0.3">
      <c r="A2006" s="4">
        <v>2003</v>
      </c>
      <c r="B2006" s="5">
        <v>97279.189477703112</v>
      </c>
      <c r="C2006" s="19">
        <v>20.823222576687616</v>
      </c>
      <c r="D2006" s="5">
        <v>158017.81629881149</v>
      </c>
      <c r="E2006" s="6">
        <v>62.437431013988856</v>
      </c>
    </row>
    <row r="2007" spans="1:5" x14ac:dyDescent="0.3">
      <c r="A2007" s="4">
        <v>2004</v>
      </c>
      <c r="B2007" s="5">
        <v>40992.726529808817</v>
      </c>
      <c r="C2007" s="19">
        <v>-49.085993128349386</v>
      </c>
      <c r="D2007" s="5">
        <v>87462.86739511606</v>
      </c>
      <c r="E2007" s="6">
        <v>113.36191758680749</v>
      </c>
    </row>
    <row r="2008" spans="1:5" x14ac:dyDescent="0.3">
      <c r="A2008" s="4">
        <v>2005</v>
      </c>
      <c r="B2008" s="5">
        <v>54488.071600240786</v>
      </c>
      <c r="C2008" s="19">
        <v>-32.324431997458838</v>
      </c>
      <c r="D2008" s="5">
        <v>106735.41944674365</v>
      </c>
      <c r="E2008" s="6">
        <v>95.887680206087495</v>
      </c>
    </row>
    <row r="2009" spans="1:5" x14ac:dyDescent="0.3">
      <c r="A2009" s="4">
        <v>2006</v>
      </c>
      <c r="B2009" s="5">
        <v>60462.01772440887</v>
      </c>
      <c r="C2009" s="19">
        <v>-24.904639274093896</v>
      </c>
      <c r="D2009" s="5">
        <v>119142.21024660415</v>
      </c>
      <c r="E2009" s="6">
        <v>97.052984221705444</v>
      </c>
    </row>
    <row r="2010" spans="1:5" x14ac:dyDescent="0.3">
      <c r="A2010" s="4">
        <v>2007</v>
      </c>
      <c r="B2010" s="5">
        <v>45052.690963563698</v>
      </c>
      <c r="C2010" s="19">
        <v>-44.043414247226664</v>
      </c>
      <c r="D2010" s="5">
        <v>76271.835729361119</v>
      </c>
      <c r="E2010" s="6">
        <v>69.29473933320844</v>
      </c>
    </row>
    <row r="2011" spans="1:5" x14ac:dyDescent="0.3">
      <c r="A2011" s="4">
        <v>2008</v>
      </c>
      <c r="B2011" s="5">
        <v>95873.520501340987</v>
      </c>
      <c r="C2011" s="19">
        <v>19.077346027838765</v>
      </c>
      <c r="D2011" s="5">
        <v>149224.17143785168</v>
      </c>
      <c r="E2011" s="6">
        <v>55.646909237847872</v>
      </c>
    </row>
    <row r="2012" spans="1:5" x14ac:dyDescent="0.3">
      <c r="A2012" s="4">
        <v>2009</v>
      </c>
      <c r="B2012" s="5">
        <v>31856.615033859536</v>
      </c>
      <c r="C2012" s="19">
        <v>-60.433275508960961</v>
      </c>
      <c r="D2012" s="5">
        <v>56479.982800776241</v>
      </c>
      <c r="E2012" s="6">
        <v>77.294363323740427</v>
      </c>
    </row>
    <row r="2013" spans="1:5" x14ac:dyDescent="0.3">
      <c r="A2013" s="4">
        <v>2010</v>
      </c>
      <c r="B2013" s="5">
        <v>128573.60770159189</v>
      </c>
      <c r="C2013" s="19">
        <v>59.691684359456765</v>
      </c>
      <c r="D2013" s="5">
        <v>221500.53240670171</v>
      </c>
      <c r="E2013" s="6">
        <v>72.275272014444127</v>
      </c>
    </row>
    <row r="2014" spans="1:5" x14ac:dyDescent="0.3">
      <c r="A2014" s="4">
        <v>2011</v>
      </c>
      <c r="B2014" s="5">
        <v>83877.117069877117</v>
      </c>
      <c r="C2014" s="19">
        <v>4.1775084603010733</v>
      </c>
      <c r="D2014" s="5">
        <v>171544.27101297962</v>
      </c>
      <c r="E2014" s="6">
        <v>104.51855882226846</v>
      </c>
    </row>
    <row r="2015" spans="1:5" x14ac:dyDescent="0.3">
      <c r="A2015" s="4">
        <v>2012</v>
      </c>
      <c r="B2015" s="5">
        <v>50827.2195022819</v>
      </c>
      <c r="C2015" s="19">
        <v>-36.871303226822867</v>
      </c>
      <c r="D2015" s="5">
        <v>100106.09041540559</v>
      </c>
      <c r="E2015" s="6">
        <v>96.953701964576879</v>
      </c>
    </row>
    <row r="2016" spans="1:5" x14ac:dyDescent="0.3">
      <c r="A2016" s="4">
        <v>2013</v>
      </c>
      <c r="B2016" s="5">
        <v>104384.89580749106</v>
      </c>
      <c r="C2016" s="19">
        <v>29.648690202991475</v>
      </c>
      <c r="D2016" s="5">
        <v>157757.85457095972</v>
      </c>
      <c r="E2016" s="6">
        <v>51.130921145814291</v>
      </c>
    </row>
    <row r="2017" spans="1:5" x14ac:dyDescent="0.3">
      <c r="A2017" s="4">
        <v>2014</v>
      </c>
      <c r="B2017" s="5">
        <v>50222.880521741085</v>
      </c>
      <c r="C2017" s="19">
        <v>-37.621907580638826</v>
      </c>
      <c r="D2017" s="5">
        <v>96412.17647414346</v>
      </c>
      <c r="E2017" s="6">
        <v>91.968631573028546</v>
      </c>
    </row>
    <row r="2018" spans="1:5" x14ac:dyDescent="0.3">
      <c r="A2018" s="4">
        <v>2015</v>
      </c>
      <c r="B2018" s="5">
        <v>59800.110608182447</v>
      </c>
      <c r="C2018" s="19">
        <v>-25.726744713687932</v>
      </c>
      <c r="D2018" s="5">
        <v>106711.88015365461</v>
      </c>
      <c r="E2018" s="6">
        <v>78.44763006015782</v>
      </c>
    </row>
    <row r="2019" spans="1:5" x14ac:dyDescent="0.3">
      <c r="A2019" s="4">
        <v>2016</v>
      </c>
      <c r="B2019" s="5">
        <v>40288.205725610394</v>
      </c>
      <c r="C2019" s="19">
        <v>-49.961025850071266</v>
      </c>
      <c r="D2019" s="5">
        <v>75440.076754160618</v>
      </c>
      <c r="E2019" s="6">
        <v>87.251021472532074</v>
      </c>
    </row>
    <row r="2020" spans="1:5" x14ac:dyDescent="0.3">
      <c r="A2020" s="4">
        <v>2017</v>
      </c>
      <c r="B2020" s="5">
        <v>45228.711907330493</v>
      </c>
      <c r="C2020" s="19">
        <v>-43.824791767114732</v>
      </c>
      <c r="D2020" s="5">
        <v>89383.682346503119</v>
      </c>
      <c r="E2020" s="6">
        <v>97.625973805405152</v>
      </c>
    </row>
    <row r="2021" spans="1:5" x14ac:dyDescent="0.3">
      <c r="A2021" s="4">
        <v>2018</v>
      </c>
      <c r="B2021" s="5">
        <v>84739.4348184173</v>
      </c>
      <c r="C2021" s="19">
        <v>5.2485289922677696</v>
      </c>
      <c r="D2021" s="5">
        <v>150964.05756915378</v>
      </c>
      <c r="E2021" s="6">
        <v>78.15089030584754</v>
      </c>
    </row>
    <row r="2022" spans="1:5" x14ac:dyDescent="0.3">
      <c r="A2022" s="4">
        <v>2019</v>
      </c>
      <c r="B2022" s="5">
        <v>43012.448694039784</v>
      </c>
      <c r="C2022" s="19">
        <v>-46.577446933606673</v>
      </c>
      <c r="D2022" s="5">
        <v>82330.926071854541</v>
      </c>
      <c r="E2022" s="6">
        <v>91.41185533866873</v>
      </c>
    </row>
    <row r="2023" spans="1:5" x14ac:dyDescent="0.3">
      <c r="A2023" s="4">
        <v>2020</v>
      </c>
      <c r="B2023" s="5">
        <v>56984.209362333218</v>
      </c>
      <c r="C2023" s="19">
        <v>-29.224165537277287</v>
      </c>
      <c r="D2023" s="5">
        <v>103099.46388758447</v>
      </c>
      <c r="E2023" s="6">
        <v>80.926374238217676</v>
      </c>
    </row>
    <row r="2024" spans="1:5" x14ac:dyDescent="0.3">
      <c r="A2024" s="4">
        <v>2021</v>
      </c>
      <c r="B2024" s="5">
        <v>38730.164743070301</v>
      </c>
      <c r="C2024" s="19">
        <v>-51.896152298263864</v>
      </c>
      <c r="D2024" s="5">
        <v>69486.909740772244</v>
      </c>
      <c r="E2024" s="6">
        <v>79.41289483723412</v>
      </c>
    </row>
    <row r="2025" spans="1:5" x14ac:dyDescent="0.3">
      <c r="A2025" s="4">
        <v>2022</v>
      </c>
      <c r="B2025" s="5">
        <v>37037.746593329852</v>
      </c>
      <c r="C2025" s="19">
        <v>-53.998178599025607</v>
      </c>
      <c r="D2025" s="5">
        <v>69977.825514480384</v>
      </c>
      <c r="E2025" s="6">
        <v>88.936509239692057</v>
      </c>
    </row>
    <row r="2026" spans="1:5" x14ac:dyDescent="0.3">
      <c r="A2026" s="4">
        <v>2023</v>
      </c>
      <c r="B2026" s="5">
        <v>141247.38198523317</v>
      </c>
      <c r="C2026" s="19">
        <v>75.432833719156861</v>
      </c>
      <c r="D2026" s="5">
        <v>227747.14798922153</v>
      </c>
      <c r="E2026" s="6">
        <v>61.239907450483976</v>
      </c>
    </row>
    <row r="2027" spans="1:5" x14ac:dyDescent="0.3">
      <c r="A2027" s="4">
        <v>2024</v>
      </c>
      <c r="B2027" s="5">
        <v>55942.443945060375</v>
      </c>
      <c r="C2027" s="19">
        <v>-30.518064628744352</v>
      </c>
      <c r="D2027" s="5">
        <v>94366.198214228411</v>
      </c>
      <c r="E2027" s="6">
        <v>68.684439862697104</v>
      </c>
    </row>
    <row r="2028" spans="1:5" x14ac:dyDescent="0.3">
      <c r="A2028" s="4">
        <v>2025</v>
      </c>
      <c r="B2028" s="5">
        <v>44940.480325341341</v>
      </c>
      <c r="C2028" s="19">
        <v>-44.182782708150356</v>
      </c>
      <c r="D2028" s="5">
        <v>85040.144713524947</v>
      </c>
      <c r="E2028" s="6">
        <v>89.228384071302287</v>
      </c>
    </row>
    <row r="2029" spans="1:5" x14ac:dyDescent="0.3">
      <c r="A2029" s="4">
        <v>2026</v>
      </c>
      <c r="B2029" s="5">
        <v>90604.627006696683</v>
      </c>
      <c r="C2029" s="19">
        <v>12.533246566749165</v>
      </c>
      <c r="D2029" s="5">
        <v>157104.8162605204</v>
      </c>
      <c r="E2029" s="6">
        <v>73.396019001224531</v>
      </c>
    </row>
    <row r="2030" spans="1:5" x14ac:dyDescent="0.3">
      <c r="A2030" s="4">
        <v>2027</v>
      </c>
      <c r="B2030" s="5">
        <v>58578.070161920579</v>
      </c>
      <c r="C2030" s="19">
        <v>-27.244549967094724</v>
      </c>
      <c r="D2030" s="5">
        <v>112932.74859859694</v>
      </c>
      <c r="E2030" s="6">
        <v>92.790148747526189</v>
      </c>
    </row>
    <row r="2031" spans="1:5" x14ac:dyDescent="0.3">
      <c r="A2031" s="4">
        <v>2028</v>
      </c>
      <c r="B2031" s="5">
        <v>58936.517036436395</v>
      </c>
      <c r="C2031" s="19">
        <v>-26.79934985046064</v>
      </c>
      <c r="D2031" s="5">
        <v>99650.257255211429</v>
      </c>
      <c r="E2031" s="6">
        <v>69.08066894011489</v>
      </c>
    </row>
    <row r="2032" spans="1:5" x14ac:dyDescent="0.3">
      <c r="A2032" s="4">
        <v>2029</v>
      </c>
      <c r="B2032" s="5">
        <v>50618.929317566384</v>
      </c>
      <c r="C2032" s="19">
        <v>-37.13000492328581</v>
      </c>
      <c r="D2032" s="5">
        <v>93700.571956532091</v>
      </c>
      <c r="E2032" s="6">
        <v>85.109746926264989</v>
      </c>
    </row>
    <row r="2033" spans="1:5" x14ac:dyDescent="0.3">
      <c r="A2033" s="4">
        <v>2030</v>
      </c>
      <c r="B2033" s="5">
        <v>73835.331048738051</v>
      </c>
      <c r="C2033" s="19">
        <v>-8.2946446694044926</v>
      </c>
      <c r="D2033" s="5">
        <v>120564.67715793411</v>
      </c>
      <c r="E2033" s="6">
        <v>63.288598351851952</v>
      </c>
    </row>
    <row r="2034" spans="1:5" x14ac:dyDescent="0.3">
      <c r="A2034" s="4">
        <v>2031</v>
      </c>
      <c r="B2034" s="5">
        <v>84229.860023763118</v>
      </c>
      <c r="C2034" s="19">
        <v>4.6156241627298558</v>
      </c>
      <c r="D2034" s="5">
        <v>145832.87983055098</v>
      </c>
      <c r="E2034" s="6">
        <v>73.136794706067747</v>
      </c>
    </row>
    <row r="2035" spans="1:5" x14ac:dyDescent="0.3">
      <c r="A2035" s="4">
        <v>2032</v>
      </c>
      <c r="B2035" s="5">
        <v>78375.104987471728</v>
      </c>
      <c r="C2035" s="19">
        <v>-2.656130204055394</v>
      </c>
      <c r="D2035" s="5">
        <v>145807.35619469709</v>
      </c>
      <c r="E2035" s="6">
        <v>86.037844820755794</v>
      </c>
    </row>
    <row r="2036" spans="1:5" x14ac:dyDescent="0.3">
      <c r="A2036" s="4">
        <v>2033</v>
      </c>
      <c r="B2036" s="5">
        <v>44539.20886169179</v>
      </c>
      <c r="C2036" s="19">
        <v>-44.681172051508483</v>
      </c>
      <c r="D2036" s="5">
        <v>76107.689173384875</v>
      </c>
      <c r="E2036" s="6">
        <v>70.877954769522546</v>
      </c>
    </row>
    <row r="2037" spans="1:5" x14ac:dyDescent="0.3">
      <c r="A2037" s="4">
        <v>2034</v>
      </c>
      <c r="B2037" s="5">
        <v>56242.051182385861</v>
      </c>
      <c r="C2037" s="19">
        <v>-30.145944835031834</v>
      </c>
      <c r="D2037" s="5">
        <v>106928.92698292041</v>
      </c>
      <c r="E2037" s="6">
        <v>90.122736875586952</v>
      </c>
    </row>
    <row r="2038" spans="1:5" x14ac:dyDescent="0.3">
      <c r="A2038" s="4">
        <v>2035</v>
      </c>
      <c r="B2038" s="5">
        <v>160282.60219004028</v>
      </c>
      <c r="C2038" s="19">
        <v>99.075060386031183</v>
      </c>
      <c r="D2038" s="5">
        <v>313640.56947200035</v>
      </c>
      <c r="E2038" s="6">
        <v>95.679733911563289</v>
      </c>
    </row>
    <row r="2039" spans="1:5" x14ac:dyDescent="0.3">
      <c r="A2039" s="4">
        <v>2036</v>
      </c>
      <c r="B2039" s="5">
        <v>58267.608590709671</v>
      </c>
      <c r="C2039" s="19">
        <v>-27.630151119009348</v>
      </c>
      <c r="D2039" s="5">
        <v>120017.45498918441</v>
      </c>
      <c r="E2039" s="6">
        <v>105.97628406586139</v>
      </c>
    </row>
    <row r="2040" spans="1:5" x14ac:dyDescent="0.3">
      <c r="A2040" s="4">
        <v>2037</v>
      </c>
      <c r="B2040" s="5">
        <v>84074.632642770172</v>
      </c>
      <c r="C2040" s="19">
        <v>4.4228278153876959</v>
      </c>
      <c r="D2040" s="5">
        <v>162651.28400086027</v>
      </c>
      <c r="E2040" s="6">
        <v>93.460594341172111</v>
      </c>
    </row>
    <row r="2041" spans="1:5" x14ac:dyDescent="0.3">
      <c r="A2041" s="4">
        <v>2038</v>
      </c>
      <c r="B2041" s="5">
        <v>64727.468001538531</v>
      </c>
      <c r="C2041" s="19">
        <v>-19.606841759636239</v>
      </c>
      <c r="D2041" s="5">
        <v>103298.90237337054</v>
      </c>
      <c r="E2041" s="6">
        <v>59.59051939265597</v>
      </c>
    </row>
    <row r="2042" spans="1:5" x14ac:dyDescent="0.3">
      <c r="A2042" s="4">
        <v>2039</v>
      </c>
      <c r="B2042" s="5">
        <v>17537.546011437404</v>
      </c>
      <c r="C2042" s="19">
        <v>-78.217922696873686</v>
      </c>
      <c r="D2042" s="5">
        <v>39054.419589599886</v>
      </c>
      <c r="E2042" s="6">
        <v>122.69033286715197</v>
      </c>
    </row>
    <row r="2043" spans="1:5" x14ac:dyDescent="0.3">
      <c r="A2043" s="4">
        <v>2040</v>
      </c>
      <c r="B2043" s="5">
        <v>55388.148184685087</v>
      </c>
      <c r="C2043" s="19">
        <v>-31.206514032863698</v>
      </c>
      <c r="D2043" s="5">
        <v>90762.36751826317</v>
      </c>
      <c r="E2043" s="6">
        <v>63.866044439014324</v>
      </c>
    </row>
    <row r="2044" spans="1:5" x14ac:dyDescent="0.3">
      <c r="A2044" s="4">
        <v>2041</v>
      </c>
      <c r="B2044" s="5">
        <v>44519.021977769662</v>
      </c>
      <c r="C2044" s="19">
        <v>-44.706244673745047</v>
      </c>
      <c r="D2044" s="5">
        <v>101920.65204040009</v>
      </c>
      <c r="E2044" s="6">
        <v>128.93731154133087</v>
      </c>
    </row>
    <row r="2045" spans="1:5" x14ac:dyDescent="0.3">
      <c r="A2045" s="4">
        <v>2042</v>
      </c>
      <c r="B2045" s="5">
        <v>63349.967881707329</v>
      </c>
      <c r="C2045" s="19">
        <v>-21.317731873661362</v>
      </c>
      <c r="D2045" s="5">
        <v>109001.99978866179</v>
      </c>
      <c r="E2045" s="6">
        <v>72.063228180636145</v>
      </c>
    </row>
    <row r="2046" spans="1:5" x14ac:dyDescent="0.3">
      <c r="A2046" s="4">
        <v>2043</v>
      </c>
      <c r="B2046" s="5">
        <v>65904.494510909659</v>
      </c>
      <c r="C2046" s="19">
        <v>-18.144944958440078</v>
      </c>
      <c r="D2046" s="5">
        <v>98617.724696953999</v>
      </c>
      <c r="E2046" s="6">
        <v>49.637328119752254</v>
      </c>
    </row>
    <row r="2047" spans="1:5" x14ac:dyDescent="0.3">
      <c r="A2047" s="4">
        <v>2044</v>
      </c>
      <c r="B2047" s="5">
        <v>67471.188211791276</v>
      </c>
      <c r="C2047" s="19">
        <v>-16.199071614434668</v>
      </c>
      <c r="D2047" s="5">
        <v>135471.06138892513</v>
      </c>
      <c r="E2047" s="6">
        <v>100.78357144635284</v>
      </c>
    </row>
    <row r="2048" spans="1:5" x14ac:dyDescent="0.3">
      <c r="A2048" s="4">
        <v>2045</v>
      </c>
      <c r="B2048" s="5">
        <v>85159.645813372103</v>
      </c>
      <c r="C2048" s="19">
        <v>5.7704417142506408</v>
      </c>
      <c r="D2048" s="5">
        <v>152096.69174350431</v>
      </c>
      <c r="E2048" s="6">
        <v>78.601836927346042</v>
      </c>
    </row>
    <row r="2049" spans="1:5" x14ac:dyDescent="0.3">
      <c r="A2049" s="4">
        <v>2046</v>
      </c>
      <c r="B2049" s="5">
        <v>57971.494937946503</v>
      </c>
      <c r="C2049" s="19">
        <v>-27.997931792017532</v>
      </c>
      <c r="D2049" s="5">
        <v>95620.993382429384</v>
      </c>
      <c r="E2049" s="6">
        <v>64.944846574654363</v>
      </c>
    </row>
    <row r="2050" spans="1:5" x14ac:dyDescent="0.3">
      <c r="A2050" s="4">
        <v>2047</v>
      </c>
      <c r="B2050" s="5">
        <v>36516.46282433968</v>
      </c>
      <c r="C2050" s="19">
        <v>-54.645626271898642</v>
      </c>
      <c r="D2050" s="5">
        <v>66540.234600850745</v>
      </c>
      <c r="E2050" s="6">
        <v>82.219824852529314</v>
      </c>
    </row>
    <row r="2051" spans="1:5" x14ac:dyDescent="0.3">
      <c r="A2051" s="4">
        <v>2048</v>
      </c>
      <c r="B2051" s="5">
        <v>75509.375589381234</v>
      </c>
      <c r="C2051" s="19">
        <v>-6.2154388575203408</v>
      </c>
      <c r="D2051" s="5">
        <v>144508.40974045263</v>
      </c>
      <c r="E2051" s="6">
        <v>91.378101874775169</v>
      </c>
    </row>
    <row r="2052" spans="1:5" x14ac:dyDescent="0.3">
      <c r="A2052" s="4">
        <v>2049</v>
      </c>
      <c r="B2052" s="5">
        <v>107889.1548721438</v>
      </c>
      <c r="C2052" s="19">
        <v>34.001068910175889</v>
      </c>
      <c r="D2052" s="5">
        <v>180482.93896792826</v>
      </c>
      <c r="E2052" s="6">
        <v>67.285524835015323</v>
      </c>
    </row>
    <row r="2053" spans="1:5" x14ac:dyDescent="0.3">
      <c r="A2053" s="4">
        <v>2050</v>
      </c>
      <c r="B2053" s="5">
        <v>58135.657821458386</v>
      </c>
      <c r="C2053" s="19">
        <v>-27.794037323736287</v>
      </c>
      <c r="D2053" s="5">
        <v>116790.6205977692</v>
      </c>
      <c r="E2053" s="6">
        <v>100.89326409008268</v>
      </c>
    </row>
    <row r="2054" spans="1:5" x14ac:dyDescent="0.3">
      <c r="A2054" s="4">
        <v>2051</v>
      </c>
      <c r="B2054" s="5">
        <v>46333.333221289788</v>
      </c>
      <c r="C2054" s="19">
        <v>-42.45282405648689</v>
      </c>
      <c r="D2054" s="5">
        <v>89093.731153940054</v>
      </c>
      <c r="E2054" s="6">
        <v>92.288628854792194</v>
      </c>
    </row>
    <row r="2055" spans="1:5" x14ac:dyDescent="0.3">
      <c r="A2055" s="4">
        <v>2052</v>
      </c>
      <c r="B2055" s="5">
        <v>76771.243444631997</v>
      </c>
      <c r="C2055" s="19">
        <v>-4.6481669512070622</v>
      </c>
      <c r="D2055" s="5">
        <v>146251.48303781304</v>
      </c>
      <c r="E2055" s="6">
        <v>90.502949380116178</v>
      </c>
    </row>
    <row r="2056" spans="1:5" x14ac:dyDescent="0.3">
      <c r="A2056" s="4">
        <v>2053</v>
      </c>
      <c r="B2056" s="5">
        <v>64912.439010107009</v>
      </c>
      <c r="C2056" s="19">
        <v>-19.377103071860414</v>
      </c>
      <c r="D2056" s="5">
        <v>110162.85375627993</v>
      </c>
      <c r="E2056" s="6">
        <v>69.709928383876218</v>
      </c>
    </row>
    <row r="2057" spans="1:5" x14ac:dyDescent="0.3">
      <c r="A2057" s="4">
        <v>2054</v>
      </c>
      <c r="B2057" s="5">
        <v>61873.693165176199</v>
      </c>
      <c r="C2057" s="19">
        <v>-23.151302543991221</v>
      </c>
      <c r="D2057" s="5">
        <v>119813.39745459655</v>
      </c>
      <c r="E2057" s="6">
        <v>93.641903894028459</v>
      </c>
    </row>
    <row r="2058" spans="1:5" x14ac:dyDescent="0.3">
      <c r="A2058" s="4">
        <v>2055</v>
      </c>
      <c r="B2058" s="5">
        <v>83271.867768210985</v>
      </c>
      <c r="C2058" s="19">
        <v>3.4257734645407192</v>
      </c>
      <c r="D2058" s="5">
        <v>130117.6811516232</v>
      </c>
      <c r="E2058" s="6">
        <v>56.256470088804221</v>
      </c>
    </row>
    <row r="2059" spans="1:5" x14ac:dyDescent="0.3">
      <c r="A2059" s="4">
        <v>2056</v>
      </c>
      <c r="B2059" s="5">
        <v>77278.914540050042</v>
      </c>
      <c r="C2059" s="19">
        <v>-4.0176265644421791</v>
      </c>
      <c r="D2059" s="5">
        <v>129514.82424700467</v>
      </c>
      <c r="E2059" s="6">
        <v>67.594000275305632</v>
      </c>
    </row>
    <row r="2060" spans="1:5" x14ac:dyDescent="0.3">
      <c r="A2060" s="4">
        <v>2057</v>
      </c>
      <c r="B2060" s="5">
        <v>59459.745484227897</v>
      </c>
      <c r="C2060" s="19">
        <v>-26.149486837154413</v>
      </c>
      <c r="D2060" s="5">
        <v>114163.61306954516</v>
      </c>
      <c r="E2060" s="6">
        <v>92.001516555142061</v>
      </c>
    </row>
    <row r="2061" spans="1:5" x14ac:dyDescent="0.3">
      <c r="A2061" s="4">
        <v>2058</v>
      </c>
      <c r="B2061" s="5">
        <v>126738.39796419161</v>
      </c>
      <c r="C2061" s="19">
        <v>57.412307282331334</v>
      </c>
      <c r="D2061" s="5">
        <v>233213.85887727456</v>
      </c>
      <c r="E2061" s="6">
        <v>84.011998434102267</v>
      </c>
    </row>
    <row r="2062" spans="1:5" x14ac:dyDescent="0.3">
      <c r="A2062" s="4">
        <v>2059</v>
      </c>
      <c r="B2062" s="5">
        <v>34585.484426488052</v>
      </c>
      <c r="C2062" s="19">
        <v>-57.043950456208158</v>
      </c>
      <c r="D2062" s="5">
        <v>71574.117668722291</v>
      </c>
      <c r="E2062" s="6">
        <v>106.9484318510967</v>
      </c>
    </row>
    <row r="2063" spans="1:5" x14ac:dyDescent="0.3">
      <c r="A2063" s="4">
        <v>2060</v>
      </c>
      <c r="B2063" s="5">
        <v>66735.529540904085</v>
      </c>
      <c r="C2063" s="19">
        <v>-17.112778356958938</v>
      </c>
      <c r="D2063" s="5">
        <v>115575.51389920567</v>
      </c>
      <c r="E2063" s="6">
        <v>73.184381234835612</v>
      </c>
    </row>
    <row r="2064" spans="1:5" x14ac:dyDescent="0.3">
      <c r="A2064" s="4">
        <v>2061</v>
      </c>
      <c r="B2064" s="5">
        <v>49734.50024015348</v>
      </c>
      <c r="C2064" s="19">
        <v>-38.228488286966041</v>
      </c>
      <c r="D2064" s="5">
        <v>99327.967508956121</v>
      </c>
      <c r="E2064" s="6">
        <v>99.716428292895614</v>
      </c>
    </row>
    <row r="2065" spans="1:5" x14ac:dyDescent="0.3">
      <c r="A2065" s="4">
        <v>2062</v>
      </c>
      <c r="B2065" s="5">
        <v>73891.107864604477</v>
      </c>
      <c r="C2065" s="19">
        <v>-8.2253684483110518</v>
      </c>
      <c r="D2065" s="5">
        <v>120961.22504948922</v>
      </c>
      <c r="E2065" s="6">
        <v>63.702004943726664</v>
      </c>
    </row>
    <row r="2066" spans="1:5" x14ac:dyDescent="0.3">
      <c r="A2066" s="4">
        <v>2063</v>
      </c>
      <c r="B2066" s="5">
        <v>33523.802509464615</v>
      </c>
      <c r="C2066" s="19">
        <v>-58.362586345907552</v>
      </c>
      <c r="D2066" s="5">
        <v>65184.108515956599</v>
      </c>
      <c r="E2066" s="6">
        <v>94.441273472940551</v>
      </c>
    </row>
    <row r="2067" spans="1:5" x14ac:dyDescent="0.3">
      <c r="A2067" s="4">
        <v>2064</v>
      </c>
      <c r="B2067" s="5">
        <v>55072.034496989429</v>
      </c>
      <c r="C2067" s="19">
        <v>-31.599135256920508</v>
      </c>
      <c r="D2067" s="5">
        <v>98630.595734364091</v>
      </c>
      <c r="E2067" s="6">
        <v>79.093793492876756</v>
      </c>
    </row>
    <row r="2068" spans="1:5" x14ac:dyDescent="0.3">
      <c r="A2068" s="4">
        <v>2065</v>
      </c>
      <c r="B2068" s="5">
        <v>77399.454714569074</v>
      </c>
      <c r="C2068" s="19">
        <v>-3.8679126080087327</v>
      </c>
      <c r="D2068" s="5">
        <v>133266.23888296791</v>
      </c>
      <c r="E2068" s="6">
        <v>72.179816220181863</v>
      </c>
    </row>
    <row r="2069" spans="1:5" x14ac:dyDescent="0.3">
      <c r="A2069" s="4">
        <v>2066</v>
      </c>
      <c r="B2069" s="5">
        <v>153374.34430056851</v>
      </c>
      <c r="C2069" s="19">
        <v>90.494828734449428</v>
      </c>
      <c r="D2069" s="5">
        <v>300574.49136735685</v>
      </c>
      <c r="E2069" s="6">
        <v>95.974426321470972</v>
      </c>
    </row>
    <row r="2070" spans="1:5" x14ac:dyDescent="0.3">
      <c r="A2070" s="4">
        <v>2067</v>
      </c>
      <c r="B2070" s="5">
        <v>81915.135896874242</v>
      </c>
      <c r="C2070" s="19">
        <v>1.7406780423078119</v>
      </c>
      <c r="D2070" s="5">
        <v>140046.91061200749</v>
      </c>
      <c r="E2070" s="6">
        <v>70.965852743401797</v>
      </c>
    </row>
    <row r="2071" spans="1:5" x14ac:dyDescent="0.3">
      <c r="A2071" s="4">
        <v>2068</v>
      </c>
      <c r="B2071" s="5">
        <v>73781.02859488898</v>
      </c>
      <c r="C2071" s="19">
        <v>-8.3620896954485318</v>
      </c>
      <c r="D2071" s="5">
        <v>120487.89711732505</v>
      </c>
      <c r="E2071" s="6">
        <v>63.304713165345575</v>
      </c>
    </row>
    <row r="2072" spans="1:5" x14ac:dyDescent="0.3">
      <c r="A2072" s="4">
        <v>2069</v>
      </c>
      <c r="B2072" s="5">
        <v>51289.403798415544</v>
      </c>
      <c r="C2072" s="19">
        <v>-36.297258599364241</v>
      </c>
      <c r="D2072" s="5">
        <v>110485.40113507089</v>
      </c>
      <c r="E2072" s="6">
        <v>115.41564719550135</v>
      </c>
    </row>
    <row r="2073" spans="1:5" x14ac:dyDescent="0.3">
      <c r="A2073" s="4">
        <v>2070</v>
      </c>
      <c r="B2073" s="5">
        <v>24914.905512863479</v>
      </c>
      <c r="C2073" s="19">
        <v>-69.055054936001284</v>
      </c>
      <c r="D2073" s="5">
        <v>52560.653124822573</v>
      </c>
      <c r="E2073" s="6">
        <v>110.96067612090958</v>
      </c>
    </row>
    <row r="2074" spans="1:5" x14ac:dyDescent="0.3">
      <c r="A2074" s="4">
        <v>2071</v>
      </c>
      <c r="B2074" s="5">
        <v>56315.203165553292</v>
      </c>
      <c r="C2074" s="19">
        <v>-30.055088215115294</v>
      </c>
      <c r="D2074" s="5">
        <v>99122.093844386924</v>
      </c>
      <c r="E2074" s="6">
        <v>76.013027162472554</v>
      </c>
    </row>
    <row r="2075" spans="1:5" x14ac:dyDescent="0.3">
      <c r="A2075" s="4">
        <v>2072</v>
      </c>
      <c r="B2075" s="5">
        <v>48205.411220463429</v>
      </c>
      <c r="C2075" s="19">
        <v>-40.127655662408927</v>
      </c>
      <c r="D2075" s="5">
        <v>93831.327311659319</v>
      </c>
      <c r="E2075" s="6">
        <v>94.648951094991318</v>
      </c>
    </row>
    <row r="2076" spans="1:5" x14ac:dyDescent="0.3">
      <c r="A2076" s="4">
        <v>2073</v>
      </c>
      <c r="B2076" s="5">
        <v>20557.70018430944</v>
      </c>
      <c r="C2076" s="19">
        <v>-74.466814553353757</v>
      </c>
      <c r="D2076" s="5">
        <v>41899.707784929902</v>
      </c>
      <c r="E2076" s="6">
        <v>103.81515154554906</v>
      </c>
    </row>
    <row r="2077" spans="1:5" x14ac:dyDescent="0.3">
      <c r="A2077" s="4">
        <v>2074</v>
      </c>
      <c r="B2077" s="5">
        <v>119371.90744946092</v>
      </c>
      <c r="C2077" s="19">
        <v>48.26293907882296</v>
      </c>
      <c r="D2077" s="5">
        <v>217515.0968475494</v>
      </c>
      <c r="E2077" s="6">
        <v>82.216319982689271</v>
      </c>
    </row>
    <row r="2078" spans="1:5" x14ac:dyDescent="0.3">
      <c r="A2078" s="4">
        <v>2075</v>
      </c>
      <c r="B2078" s="5">
        <v>108581.80174252758</v>
      </c>
      <c r="C2078" s="19">
        <v>34.861353904702966</v>
      </c>
      <c r="D2078" s="5">
        <v>192380.69009998944</v>
      </c>
      <c r="E2078" s="6">
        <v>77.175813085297946</v>
      </c>
    </row>
    <row r="2079" spans="1:5" x14ac:dyDescent="0.3">
      <c r="A2079" s="4">
        <v>2076</v>
      </c>
      <c r="B2079" s="5">
        <v>64663.576575249725</v>
      </c>
      <c r="C2079" s="19">
        <v>-19.686196532848076</v>
      </c>
      <c r="D2079" s="5">
        <v>121473.19884916148</v>
      </c>
      <c r="E2079" s="6">
        <v>87.854129453853773</v>
      </c>
    </row>
    <row r="2080" spans="1:5" x14ac:dyDescent="0.3">
      <c r="A2080" s="4">
        <v>2077</v>
      </c>
      <c r="B2080" s="5">
        <v>103265.7784571808</v>
      </c>
      <c r="C2080" s="19">
        <v>28.258718047261684</v>
      </c>
      <c r="D2080" s="5">
        <v>194245.42735316796</v>
      </c>
      <c r="E2080" s="6">
        <v>88.102419073625555</v>
      </c>
    </row>
    <row r="2081" spans="1:5" x14ac:dyDescent="0.3">
      <c r="A2081" s="4">
        <v>2078</v>
      </c>
      <c r="B2081" s="5">
        <v>44826.669094329838</v>
      </c>
      <c r="C2081" s="19">
        <v>-44.324139145946148</v>
      </c>
      <c r="D2081" s="5">
        <v>92228.841220210612</v>
      </c>
      <c r="E2081" s="6">
        <v>105.74547046119184</v>
      </c>
    </row>
    <row r="2082" spans="1:5" x14ac:dyDescent="0.3">
      <c r="A2082" s="4">
        <v>2079</v>
      </c>
      <c r="B2082" s="5">
        <v>95625.064785596085</v>
      </c>
      <c r="C2082" s="19">
        <v>18.768757722312461</v>
      </c>
      <c r="D2082" s="5">
        <v>189856.5900935196</v>
      </c>
      <c r="E2082" s="6">
        <v>98.542704801510908</v>
      </c>
    </row>
    <row r="2083" spans="1:5" x14ac:dyDescent="0.3">
      <c r="A2083" s="4">
        <v>2080</v>
      </c>
      <c r="B2083" s="5">
        <v>82652.122145479123</v>
      </c>
      <c r="C2083" s="19">
        <v>2.6560336700554616</v>
      </c>
      <c r="D2083" s="5">
        <v>161860.3361213998</v>
      </c>
      <c r="E2083" s="6">
        <v>95.833248947320797</v>
      </c>
    </row>
    <row r="2084" spans="1:5" x14ac:dyDescent="0.3">
      <c r="A2084" s="4">
        <v>2081</v>
      </c>
      <c r="B2084" s="5">
        <v>67593.908023280746</v>
      </c>
      <c r="C2084" s="19">
        <v>-16.04665049355804</v>
      </c>
      <c r="D2084" s="5">
        <v>121473.68414209154</v>
      </c>
      <c r="E2084" s="6">
        <v>79.710994221925262</v>
      </c>
    </row>
    <row r="2085" spans="1:5" x14ac:dyDescent="0.3">
      <c r="A2085" s="4">
        <v>2082</v>
      </c>
      <c r="B2085" s="5">
        <v>80259.303280059365</v>
      </c>
      <c r="C2085" s="19">
        <v>-0.31590809790687979</v>
      </c>
      <c r="D2085" s="5">
        <v>134906.95733358775</v>
      </c>
      <c r="E2085" s="6">
        <v>68.088871719754565</v>
      </c>
    </row>
    <row r="2086" spans="1:5" x14ac:dyDescent="0.3">
      <c r="A2086" s="4">
        <v>2083</v>
      </c>
      <c r="B2086" s="5">
        <v>101324.2683031045</v>
      </c>
      <c r="C2086" s="19">
        <v>25.847313154392726</v>
      </c>
      <c r="D2086" s="5">
        <v>190637.64347490951</v>
      </c>
      <c r="E2086" s="6">
        <v>88.146084514156328</v>
      </c>
    </row>
    <row r="2087" spans="1:5" x14ac:dyDescent="0.3">
      <c r="A2087" s="4">
        <v>2084</v>
      </c>
      <c r="B2087" s="5">
        <v>81506.58985671596</v>
      </c>
      <c r="C2087" s="19">
        <v>1.2332534902746919</v>
      </c>
      <c r="D2087" s="5">
        <v>132405.36646105288</v>
      </c>
      <c r="E2087" s="6">
        <v>62.447437310055697</v>
      </c>
    </row>
    <row r="2088" spans="1:5" x14ac:dyDescent="0.3">
      <c r="A2088" s="4">
        <v>2085</v>
      </c>
      <c r="B2088" s="5">
        <v>32013.450502974039</v>
      </c>
      <c r="C2088" s="19">
        <v>-60.238481875353585</v>
      </c>
      <c r="D2088" s="5">
        <v>72208.051336027216</v>
      </c>
      <c r="E2088" s="6">
        <v>125.55535314545088</v>
      </c>
    </row>
    <row r="2089" spans="1:5" x14ac:dyDescent="0.3">
      <c r="A2089" s="4">
        <v>2086</v>
      </c>
      <c r="B2089" s="5">
        <v>51696.576885616923</v>
      </c>
      <c r="C2089" s="19">
        <v>-35.791539289753366</v>
      </c>
      <c r="D2089" s="5">
        <v>94787.10116777278</v>
      </c>
      <c r="E2089" s="6">
        <v>83.35276120408767</v>
      </c>
    </row>
    <row r="2090" spans="1:5" x14ac:dyDescent="0.3">
      <c r="A2090" s="4">
        <v>2087</v>
      </c>
      <c r="B2090" s="5">
        <v>56696.686959309598</v>
      </c>
      <c r="C2090" s="19">
        <v>-29.581275660036578</v>
      </c>
      <c r="D2090" s="5">
        <v>106865.89723185681</v>
      </c>
      <c r="E2090" s="6">
        <v>88.487022722426332</v>
      </c>
    </row>
    <row r="2091" spans="1:5" x14ac:dyDescent="0.3">
      <c r="A2091" s="4">
        <v>2088</v>
      </c>
      <c r="B2091" s="5">
        <v>39828.993013324747</v>
      </c>
      <c r="C2091" s="19">
        <v>-50.53137969496273</v>
      </c>
      <c r="D2091" s="5">
        <v>76549.821808350971</v>
      </c>
      <c r="E2091" s="6">
        <v>92.196226961453206</v>
      </c>
    </row>
    <row r="2092" spans="1:5" x14ac:dyDescent="0.3">
      <c r="A2092" s="4">
        <v>2089</v>
      </c>
      <c r="B2092" s="5">
        <v>76770.020905673533</v>
      </c>
      <c r="C2092" s="19">
        <v>-4.6496853756252774</v>
      </c>
      <c r="D2092" s="5">
        <v>126752.5488242545</v>
      </c>
      <c r="E2092" s="6">
        <v>65.106831193903076</v>
      </c>
    </row>
    <row r="2093" spans="1:5" x14ac:dyDescent="0.3">
      <c r="A2093" s="4">
        <v>2090</v>
      </c>
      <c r="B2093" s="5">
        <v>55028.49279207777</v>
      </c>
      <c r="C2093" s="19">
        <v>-31.653215159643338</v>
      </c>
      <c r="D2093" s="5">
        <v>97094.592532676019</v>
      </c>
      <c r="E2093" s="6">
        <v>76.444215725738246</v>
      </c>
    </row>
    <row r="2094" spans="1:5" x14ac:dyDescent="0.3">
      <c r="A2094" s="4">
        <v>2091</v>
      </c>
      <c r="B2094" s="5">
        <v>67609.704112366104</v>
      </c>
      <c r="C2094" s="19">
        <v>-16.027031349960644</v>
      </c>
      <c r="D2094" s="5">
        <v>134770.32466227759</v>
      </c>
      <c r="E2094" s="6">
        <v>99.335770554906958</v>
      </c>
    </row>
    <row r="2095" spans="1:5" x14ac:dyDescent="0.3">
      <c r="A2095" s="4">
        <v>2092</v>
      </c>
      <c r="B2095" s="5">
        <v>33190.66006553686</v>
      </c>
      <c r="C2095" s="19">
        <v>-58.776357717446892</v>
      </c>
      <c r="D2095" s="5">
        <v>68389.12485458178</v>
      </c>
      <c r="E2095" s="6">
        <v>106.04930639988339</v>
      </c>
    </row>
    <row r="2096" spans="1:5" x14ac:dyDescent="0.3">
      <c r="A2096" s="4">
        <v>2093</v>
      </c>
      <c r="B2096" s="5">
        <v>41718.813332022677</v>
      </c>
      <c r="C2096" s="19">
        <v>-48.184174889680897</v>
      </c>
      <c r="D2096" s="5">
        <v>80036.639848906125</v>
      </c>
      <c r="E2096" s="6">
        <v>91.847834241898994</v>
      </c>
    </row>
    <row r="2097" spans="1:5" x14ac:dyDescent="0.3">
      <c r="A2097" s="4">
        <v>2094</v>
      </c>
      <c r="B2097" s="5">
        <v>46048.473450176578</v>
      </c>
      <c r="C2097" s="19">
        <v>-42.806627122827649</v>
      </c>
      <c r="D2097" s="5">
        <v>80085.387916622378</v>
      </c>
      <c r="E2097" s="6">
        <v>73.915402436245756</v>
      </c>
    </row>
    <row r="2098" spans="1:5" x14ac:dyDescent="0.3">
      <c r="A2098" s="4">
        <v>2095</v>
      </c>
      <c r="B2098" s="5">
        <v>54890.774983215451</v>
      </c>
      <c r="C2098" s="19">
        <v>-31.8242641739524</v>
      </c>
      <c r="D2098" s="5">
        <v>120719.37139889869</v>
      </c>
      <c r="E2098" s="6">
        <v>119.92652032297295</v>
      </c>
    </row>
    <row r="2099" spans="1:5" x14ac:dyDescent="0.3">
      <c r="A2099" s="4">
        <v>2096</v>
      </c>
      <c r="B2099" s="5">
        <v>123897.16847294233</v>
      </c>
      <c r="C2099" s="19">
        <v>53.883428135046252</v>
      </c>
      <c r="D2099" s="5">
        <v>205989.51101762764</v>
      </c>
      <c r="E2099" s="6">
        <v>66.258449290238048</v>
      </c>
    </row>
    <row r="2100" spans="1:5" x14ac:dyDescent="0.3">
      <c r="A2100" s="4">
        <v>2097</v>
      </c>
      <c r="B2100" s="5">
        <v>64199.153708237252</v>
      </c>
      <c r="C2100" s="19">
        <v>-20.263021522160031</v>
      </c>
      <c r="D2100" s="5">
        <v>115677.24420042234</v>
      </c>
      <c r="E2100" s="6">
        <v>80.184998584459606</v>
      </c>
    </row>
    <row r="2101" spans="1:5" x14ac:dyDescent="0.3">
      <c r="A2101" s="4">
        <v>2098</v>
      </c>
      <c r="B2101" s="5">
        <v>50938.877319026382</v>
      </c>
      <c r="C2101" s="19">
        <v>-36.732621384207</v>
      </c>
      <c r="D2101" s="5">
        <v>89924.600296007717</v>
      </c>
      <c r="E2101" s="6">
        <v>76.534319225012879</v>
      </c>
    </row>
    <row r="2102" spans="1:5" x14ac:dyDescent="0.3">
      <c r="A2102" s="4">
        <v>2099</v>
      </c>
      <c r="B2102" s="5">
        <v>92928.091917378973</v>
      </c>
      <c r="C2102" s="19">
        <v>15.419048962510637</v>
      </c>
      <c r="D2102" s="5">
        <v>194812.15929901693</v>
      </c>
      <c r="E2102" s="6">
        <v>109.63753293484343</v>
      </c>
    </row>
    <row r="2103" spans="1:5" x14ac:dyDescent="0.3">
      <c r="A2103" s="4">
        <v>2100</v>
      </c>
      <c r="B2103" s="5">
        <v>69754.556895646645</v>
      </c>
      <c r="C2103" s="19">
        <v>-13.363069750157935</v>
      </c>
      <c r="D2103" s="5">
        <v>118567.46009407735</v>
      </c>
      <c r="E2103" s="6">
        <v>69.978085118446359</v>
      </c>
    </row>
    <row r="2104" spans="1:5" x14ac:dyDescent="0.3">
      <c r="A2104" s="4">
        <v>2101</v>
      </c>
      <c r="B2104" s="5">
        <v>80299.558804875487</v>
      </c>
      <c r="C2104" s="19">
        <v>-0.26590971427607712</v>
      </c>
      <c r="D2104" s="5">
        <v>147461.59152663988</v>
      </c>
      <c r="E2104" s="6">
        <v>83.639354588442103</v>
      </c>
    </row>
    <row r="2105" spans="1:5" x14ac:dyDescent="0.3">
      <c r="A2105" s="4">
        <v>2102</v>
      </c>
      <c r="B2105" s="5">
        <v>37014.571337637411</v>
      </c>
      <c r="C2105" s="19">
        <v>-54.026962854854965</v>
      </c>
      <c r="D2105" s="5">
        <v>66551.407223289789</v>
      </c>
      <c r="E2105" s="6">
        <v>79.797860189234527</v>
      </c>
    </row>
    <row r="2106" spans="1:5" x14ac:dyDescent="0.3">
      <c r="A2106" s="4">
        <v>2103</v>
      </c>
      <c r="B2106" s="5">
        <v>103443.014051349</v>
      </c>
      <c r="C2106" s="19">
        <v>28.478849154003733</v>
      </c>
      <c r="D2106" s="5">
        <v>223030.91473733753</v>
      </c>
      <c r="E2106" s="6">
        <v>115.60751761025179</v>
      </c>
    </row>
    <row r="2107" spans="1:5" x14ac:dyDescent="0.3">
      <c r="A2107" s="4">
        <v>2104</v>
      </c>
      <c r="B2107" s="5">
        <v>48692.005491282376</v>
      </c>
      <c r="C2107" s="19">
        <v>-39.523293226790827</v>
      </c>
      <c r="D2107" s="5">
        <v>101691.8198687805</v>
      </c>
      <c r="E2107" s="6">
        <v>108.84705578000273</v>
      </c>
    </row>
    <row r="2108" spans="1:5" x14ac:dyDescent="0.3">
      <c r="A2108" s="4">
        <v>2105</v>
      </c>
      <c r="B2108" s="5">
        <v>78324.565573595464</v>
      </c>
      <c r="C2108" s="19">
        <v>-2.7189014389356636</v>
      </c>
      <c r="D2108" s="5">
        <v>168745.48765576558</v>
      </c>
      <c r="E2108" s="6">
        <v>115.44388586133765</v>
      </c>
    </row>
    <row r="2109" spans="1:5" x14ac:dyDescent="0.3">
      <c r="A2109" s="4">
        <v>2106</v>
      </c>
      <c r="B2109" s="5">
        <v>119094.42046896911</v>
      </c>
      <c r="C2109" s="19">
        <v>47.918293205578095</v>
      </c>
      <c r="D2109" s="5">
        <v>228278.93930179393</v>
      </c>
      <c r="E2109" s="6">
        <v>91.678953894631547</v>
      </c>
    </row>
    <row r="2110" spans="1:5" x14ac:dyDescent="0.3">
      <c r="A2110" s="4">
        <v>2107</v>
      </c>
      <c r="B2110" s="5">
        <v>27422.972490432614</v>
      </c>
      <c r="C2110" s="19">
        <v>-65.939972087397436</v>
      </c>
      <c r="D2110" s="5">
        <v>56230.981649690228</v>
      </c>
      <c r="E2110" s="6">
        <v>105.05064383267792</v>
      </c>
    </row>
    <row r="2111" spans="1:5" x14ac:dyDescent="0.3">
      <c r="A2111" s="4">
        <v>2108</v>
      </c>
      <c r="B2111" s="5">
        <v>52428.187815956546</v>
      </c>
      <c r="C2111" s="19">
        <v>-34.882859943733294</v>
      </c>
      <c r="D2111" s="5">
        <v>87008.238130256024</v>
      </c>
      <c r="E2111" s="6">
        <v>65.956981835208552</v>
      </c>
    </row>
    <row r="2112" spans="1:5" x14ac:dyDescent="0.3">
      <c r="A2112" s="4">
        <v>2109</v>
      </c>
      <c r="B2112" s="5">
        <v>55940.654185954307</v>
      </c>
      <c r="C2112" s="19">
        <v>-30.520287554983689</v>
      </c>
      <c r="D2112" s="5">
        <v>103027.76788965569</v>
      </c>
      <c r="E2112" s="6">
        <v>84.173334024978402</v>
      </c>
    </row>
    <row r="2113" spans="1:5" x14ac:dyDescent="0.3">
      <c r="A2113" s="4">
        <v>2110</v>
      </c>
      <c r="B2113" s="5">
        <v>102891.96648571969</v>
      </c>
      <c r="C2113" s="19">
        <v>27.794434090208071</v>
      </c>
      <c r="D2113" s="5">
        <v>166587.04832442911</v>
      </c>
      <c r="E2113" s="6">
        <v>61.904815326422614</v>
      </c>
    </row>
    <row r="2114" spans="1:5" x14ac:dyDescent="0.3">
      <c r="A2114" s="4">
        <v>2111</v>
      </c>
      <c r="B2114" s="5">
        <v>54790.032885567889</v>
      </c>
      <c r="C2114" s="19">
        <v>-31.949388416375324</v>
      </c>
      <c r="D2114" s="5">
        <v>102539.05338836271</v>
      </c>
      <c r="E2114" s="6">
        <v>87.149099914799052</v>
      </c>
    </row>
    <row r="2115" spans="1:5" x14ac:dyDescent="0.3">
      <c r="A2115" s="4">
        <v>2112</v>
      </c>
      <c r="B2115" s="5">
        <v>54276.632335742222</v>
      </c>
      <c r="C2115" s="19">
        <v>-32.587044930945666</v>
      </c>
      <c r="D2115" s="5">
        <v>105398.85931435401</v>
      </c>
      <c r="E2115" s="6">
        <v>94.188280994262783</v>
      </c>
    </row>
    <row r="2116" spans="1:5" x14ac:dyDescent="0.3">
      <c r="A2116" s="4">
        <v>2113</v>
      </c>
      <c r="B2116" s="5">
        <v>31980.816577826437</v>
      </c>
      <c r="C2116" s="19">
        <v>-60.27901403873642</v>
      </c>
      <c r="D2116" s="5">
        <v>72015.885958687519</v>
      </c>
      <c r="E2116" s="6">
        <v>125.18463774505051</v>
      </c>
    </row>
    <row r="2117" spans="1:5" x14ac:dyDescent="0.3">
      <c r="A2117" s="4">
        <v>2114</v>
      </c>
      <c r="B2117" s="5">
        <v>57832.075362977914</v>
      </c>
      <c r="C2117" s="19">
        <v>-28.171094443026647</v>
      </c>
      <c r="D2117" s="5">
        <v>124892.72905001439</v>
      </c>
      <c r="E2117" s="6">
        <v>115.95754305225294</v>
      </c>
    </row>
    <row r="2118" spans="1:5" x14ac:dyDescent="0.3">
      <c r="A2118" s="4">
        <v>2115</v>
      </c>
      <c r="B2118" s="5">
        <v>28089.659405742463</v>
      </c>
      <c r="C2118" s="19">
        <v>-65.111930016015762</v>
      </c>
      <c r="D2118" s="5">
        <v>50310.755018646109</v>
      </c>
      <c r="E2118" s="6">
        <v>79.107743144656681</v>
      </c>
    </row>
    <row r="2119" spans="1:5" x14ac:dyDescent="0.3">
      <c r="A2119" s="4">
        <v>2116</v>
      </c>
      <c r="B2119" s="5">
        <v>64743.489979392863</v>
      </c>
      <c r="C2119" s="19">
        <v>-19.586942056454024</v>
      </c>
      <c r="D2119" s="5">
        <v>110111.09129855862</v>
      </c>
      <c r="E2119" s="6">
        <v>70.072838726497082</v>
      </c>
    </row>
    <row r="2120" spans="1:5" x14ac:dyDescent="0.3">
      <c r="A2120" s="4">
        <v>2117</v>
      </c>
      <c r="B2120" s="5">
        <v>50410.227829484436</v>
      </c>
      <c r="C2120" s="19">
        <v>-37.38921746897001</v>
      </c>
      <c r="D2120" s="5">
        <v>90277.209500909506</v>
      </c>
      <c r="E2120" s="6">
        <v>79.085105122471347</v>
      </c>
    </row>
    <row r="2121" spans="1:5" x14ac:dyDescent="0.3">
      <c r="A2121" s="4">
        <v>2118</v>
      </c>
      <c r="B2121" s="5">
        <v>94916.905617878248</v>
      </c>
      <c r="C2121" s="19">
        <v>17.889206060746602</v>
      </c>
      <c r="D2121" s="5">
        <v>167461.98972153582</v>
      </c>
      <c r="E2121" s="6">
        <v>76.430098127844161</v>
      </c>
    </row>
    <row r="2122" spans="1:5" x14ac:dyDescent="0.3">
      <c r="A2122" s="4">
        <v>2119</v>
      </c>
      <c r="B2122" s="5">
        <v>70971.036105204854</v>
      </c>
      <c r="C2122" s="19">
        <v>-11.852171693898402</v>
      </c>
      <c r="D2122" s="5">
        <v>141997.60199727357</v>
      </c>
      <c r="E2122" s="6">
        <v>100.07824288598739</v>
      </c>
    </row>
    <row r="2123" spans="1:5" x14ac:dyDescent="0.3">
      <c r="A2123" s="4">
        <v>2120</v>
      </c>
      <c r="B2123" s="5">
        <v>48210.034437612805</v>
      </c>
      <c r="C2123" s="19">
        <v>-40.12191350935791</v>
      </c>
      <c r="D2123" s="5">
        <v>81979.716465809426</v>
      </c>
      <c r="E2123" s="6">
        <v>70.046998352380314</v>
      </c>
    </row>
    <row r="2124" spans="1:5" x14ac:dyDescent="0.3">
      <c r="A2124" s="4">
        <v>2121</v>
      </c>
      <c r="B2124" s="5">
        <v>38367.383060686989</v>
      </c>
      <c r="C2124" s="19">
        <v>-52.346736356300163</v>
      </c>
      <c r="D2124" s="5">
        <v>78270.934634875943</v>
      </c>
      <c r="E2124" s="6">
        <v>104.00383969652596</v>
      </c>
    </row>
    <row r="2125" spans="1:5" x14ac:dyDescent="0.3">
      <c r="A2125" s="4">
        <v>2122</v>
      </c>
      <c r="B2125" s="5">
        <v>79359.251261323152</v>
      </c>
      <c r="C2125" s="19">
        <v>-1.4337955512690177</v>
      </c>
      <c r="D2125" s="5">
        <v>151254.33855495771</v>
      </c>
      <c r="E2125" s="6">
        <v>90.594462713477782</v>
      </c>
    </row>
    <row r="2126" spans="1:5" x14ac:dyDescent="0.3">
      <c r="A2126" s="4">
        <v>2123</v>
      </c>
      <c r="B2126" s="5">
        <v>88399.723631569737</v>
      </c>
      <c r="C2126" s="19">
        <v>9.7947006076042875</v>
      </c>
      <c r="D2126" s="5">
        <v>173132.17286732839</v>
      </c>
      <c r="E2126" s="6">
        <v>95.851486582587668</v>
      </c>
    </row>
    <row r="2127" spans="1:5" x14ac:dyDescent="0.3">
      <c r="A2127" s="4">
        <v>2124</v>
      </c>
      <c r="B2127" s="5">
        <v>60911.954239129685</v>
      </c>
      <c r="C2127" s="19">
        <v>-24.345806702036413</v>
      </c>
      <c r="D2127" s="5">
        <v>118919.07985421404</v>
      </c>
      <c r="E2127" s="6">
        <v>95.231102563806303</v>
      </c>
    </row>
    <row r="2128" spans="1:5" x14ac:dyDescent="0.3">
      <c r="A2128" s="4">
        <v>2125</v>
      </c>
      <c r="B2128" s="5">
        <v>30844.451003440423</v>
      </c>
      <c r="C2128" s="19">
        <v>-61.690408926581341</v>
      </c>
      <c r="D2128" s="5">
        <v>60012.844917721035</v>
      </c>
      <c r="E2128" s="6">
        <v>94.566098488921526</v>
      </c>
    </row>
    <row r="2129" spans="1:5" x14ac:dyDescent="0.3">
      <c r="A2129" s="4">
        <v>2126</v>
      </c>
      <c r="B2129" s="5">
        <v>107975.34548475999</v>
      </c>
      <c r="C2129" s="19">
        <v>34.108119838828351</v>
      </c>
      <c r="D2129" s="5">
        <v>197311.91949680579</v>
      </c>
      <c r="E2129" s="6">
        <v>82.737937638416781</v>
      </c>
    </row>
    <row r="2130" spans="1:5" x14ac:dyDescent="0.3">
      <c r="A2130" s="4">
        <v>2127</v>
      </c>
      <c r="B2130" s="5">
        <v>63402.073695764018</v>
      </c>
      <c r="C2130" s="19">
        <v>-21.253015129996946</v>
      </c>
      <c r="D2130" s="5">
        <v>118130.50520934559</v>
      </c>
      <c r="E2130" s="6">
        <v>86.319623828389155</v>
      </c>
    </row>
    <row r="2131" spans="1:5" x14ac:dyDescent="0.3">
      <c r="A2131" s="4">
        <v>2128</v>
      </c>
      <c r="B2131" s="5">
        <v>39229.897040783799</v>
      </c>
      <c r="C2131" s="19">
        <v>-51.27547209975917</v>
      </c>
      <c r="D2131" s="5">
        <v>75890.864013326893</v>
      </c>
      <c r="E2131" s="6">
        <v>93.45160129895315</v>
      </c>
    </row>
    <row r="2132" spans="1:5" x14ac:dyDescent="0.3">
      <c r="A2132" s="4">
        <v>2129</v>
      </c>
      <c r="B2132" s="5">
        <v>58443.8797126836</v>
      </c>
      <c r="C2132" s="19">
        <v>-27.411217911213864</v>
      </c>
      <c r="D2132" s="5">
        <v>120577.02304092186</v>
      </c>
      <c r="E2132" s="6">
        <v>106.31248923529969</v>
      </c>
    </row>
    <row r="2133" spans="1:5" x14ac:dyDescent="0.3">
      <c r="A2133" s="4">
        <v>2130</v>
      </c>
      <c r="B2133" s="5">
        <v>25343.460909904323</v>
      </c>
      <c r="C2133" s="19">
        <v>-68.522778254820921</v>
      </c>
      <c r="D2133" s="5">
        <v>57931.971226182803</v>
      </c>
      <c r="E2133" s="6">
        <v>128.58745075161681</v>
      </c>
    </row>
    <row r="2134" spans="1:5" x14ac:dyDescent="0.3">
      <c r="A2134" s="4">
        <v>2131</v>
      </c>
      <c r="B2134" s="5">
        <v>46071.623892030249</v>
      </c>
      <c r="C2134" s="19">
        <v>-42.777873686415887</v>
      </c>
      <c r="D2134" s="5">
        <v>90430.262371222459</v>
      </c>
      <c r="E2134" s="6">
        <v>96.281907890087709</v>
      </c>
    </row>
    <row r="2135" spans="1:5" x14ac:dyDescent="0.3">
      <c r="A2135" s="4">
        <v>2132</v>
      </c>
      <c r="B2135" s="5">
        <v>53219.576621688786</v>
      </c>
      <c r="C2135" s="19">
        <v>-33.899934959129048</v>
      </c>
      <c r="D2135" s="5">
        <v>108578.42804733486</v>
      </c>
      <c r="E2135" s="6">
        <v>104.01971405966704</v>
      </c>
    </row>
    <row r="2136" spans="1:5" x14ac:dyDescent="0.3">
      <c r="A2136" s="4">
        <v>2133</v>
      </c>
      <c r="B2136" s="5">
        <v>84343.78382848145</v>
      </c>
      <c r="C2136" s="19">
        <v>4.7571204199269932</v>
      </c>
      <c r="D2136" s="5">
        <v>146677.21729328556</v>
      </c>
      <c r="E2136" s="6">
        <v>73.904004107241832</v>
      </c>
    </row>
    <row r="2137" spans="1:5" x14ac:dyDescent="0.3">
      <c r="A2137" s="4">
        <v>2134</v>
      </c>
      <c r="B2137" s="5">
        <v>54523.550665442264</v>
      </c>
      <c r="C2137" s="19">
        <v>-32.280366097910672</v>
      </c>
      <c r="D2137" s="5">
        <v>103529.05378520963</v>
      </c>
      <c r="E2137" s="6">
        <v>89.879515405125105</v>
      </c>
    </row>
    <row r="2138" spans="1:5" x14ac:dyDescent="0.3">
      <c r="A2138" s="4">
        <v>2135</v>
      </c>
      <c r="B2138" s="5">
        <v>32074.577982657407</v>
      </c>
      <c r="C2138" s="19">
        <v>-60.162559993983187</v>
      </c>
      <c r="D2138" s="5">
        <v>62311.217777401813</v>
      </c>
      <c r="E2138" s="6">
        <v>94.269797754137969</v>
      </c>
    </row>
    <row r="2139" spans="1:5" x14ac:dyDescent="0.3">
      <c r="A2139" s="4">
        <v>2136</v>
      </c>
      <c r="B2139" s="5">
        <v>53513.279538373077</v>
      </c>
      <c r="C2139" s="19">
        <v>-33.535148481522732</v>
      </c>
      <c r="D2139" s="5">
        <v>105972.12660300484</v>
      </c>
      <c r="E2139" s="6">
        <v>98.029587267240458</v>
      </c>
    </row>
    <row r="2140" spans="1:5" x14ac:dyDescent="0.3">
      <c r="A2140" s="4">
        <v>2137</v>
      </c>
      <c r="B2140" s="5">
        <v>67487.126456701095</v>
      </c>
      <c r="C2140" s="19">
        <v>-16.17927590969494</v>
      </c>
      <c r="D2140" s="5">
        <v>126784.1199488843</v>
      </c>
      <c r="E2140" s="6">
        <v>87.864155144059097</v>
      </c>
    </row>
    <row r="2141" spans="1:5" x14ac:dyDescent="0.3">
      <c r="A2141" s="4">
        <v>2138</v>
      </c>
      <c r="B2141" s="5">
        <v>28610.008027296226</v>
      </c>
      <c r="C2141" s="19">
        <v>-64.465643819995677</v>
      </c>
      <c r="D2141" s="5">
        <v>62265.648473503687</v>
      </c>
      <c r="E2141" s="6">
        <v>117.63590004622613</v>
      </c>
    </row>
    <row r="2142" spans="1:5" x14ac:dyDescent="0.3">
      <c r="A2142" s="4">
        <v>2139</v>
      </c>
      <c r="B2142" s="5">
        <v>38002.385672788449</v>
      </c>
      <c r="C2142" s="19">
        <v>-52.800072376827778</v>
      </c>
      <c r="D2142" s="5">
        <v>63846.682104046486</v>
      </c>
      <c r="E2142" s="6">
        <v>68.007036857593405</v>
      </c>
    </row>
    <row r="2143" spans="1:5" x14ac:dyDescent="0.3">
      <c r="A2143" s="4">
        <v>2140</v>
      </c>
      <c r="B2143" s="5">
        <v>50163.142637180208</v>
      </c>
      <c r="C2143" s="19">
        <v>-37.696103549594888</v>
      </c>
      <c r="D2143" s="5">
        <v>95565.688935307815</v>
      </c>
      <c r="E2143" s="6">
        <v>90.509772536611138</v>
      </c>
    </row>
    <row r="2144" spans="1:5" x14ac:dyDescent="0.3">
      <c r="A2144" s="4">
        <v>2141</v>
      </c>
      <c r="B2144" s="5">
        <v>115285.15144094045</v>
      </c>
      <c r="C2144" s="19">
        <v>43.187084381788701</v>
      </c>
      <c r="D2144" s="5">
        <v>185916.95397358955</v>
      </c>
      <c r="E2144" s="6">
        <v>61.267042329239729</v>
      </c>
    </row>
    <row r="2145" spans="1:5" x14ac:dyDescent="0.3">
      <c r="A2145" s="4">
        <v>2142</v>
      </c>
      <c r="B2145" s="5">
        <v>45111.157897960031</v>
      </c>
      <c r="C2145" s="19">
        <v>-43.970796830635592</v>
      </c>
      <c r="D2145" s="5">
        <v>95044.909365295753</v>
      </c>
      <c r="E2145" s="6">
        <v>110.69046726817395</v>
      </c>
    </row>
    <row r="2146" spans="1:5" x14ac:dyDescent="0.3">
      <c r="A2146" s="4">
        <v>2143</v>
      </c>
      <c r="B2146" s="5">
        <v>90001.805728395833</v>
      </c>
      <c r="C2146" s="19">
        <v>11.7845272376392</v>
      </c>
      <c r="D2146" s="5">
        <v>189141.24770182022</v>
      </c>
      <c r="E2146" s="6">
        <v>110.15272546042441</v>
      </c>
    </row>
    <row r="2147" spans="1:5" x14ac:dyDescent="0.3">
      <c r="A2147" s="4">
        <v>2144</v>
      </c>
      <c r="B2147" s="5">
        <v>65743.426445896999</v>
      </c>
      <c r="C2147" s="19">
        <v>-18.34499558358927</v>
      </c>
      <c r="D2147" s="5">
        <v>115844.3110220711</v>
      </c>
      <c r="E2147" s="6">
        <v>76.206682986631662</v>
      </c>
    </row>
    <row r="2148" spans="1:5" x14ac:dyDescent="0.3">
      <c r="A2148" s="4">
        <v>2145</v>
      </c>
      <c r="B2148" s="5">
        <v>98577.448527027911</v>
      </c>
      <c r="C2148" s="19">
        <v>22.435693269761412</v>
      </c>
      <c r="D2148" s="5">
        <v>146680.86806392897</v>
      </c>
      <c r="E2148" s="6">
        <v>48.797590377592378</v>
      </c>
    </row>
    <row r="2149" spans="1:5" x14ac:dyDescent="0.3">
      <c r="A2149" s="4">
        <v>2146</v>
      </c>
      <c r="B2149" s="5">
        <v>41825.963833534384</v>
      </c>
      <c r="C2149" s="19">
        <v>-48.051091246993686</v>
      </c>
      <c r="D2149" s="5">
        <v>85434.689885645639</v>
      </c>
      <c r="E2149" s="6">
        <v>104.26233385959063</v>
      </c>
    </row>
    <row r="2150" spans="1:5" x14ac:dyDescent="0.3">
      <c r="A2150" s="4">
        <v>2147</v>
      </c>
      <c r="B2150" s="5">
        <v>66606.429873538247</v>
      </c>
      <c r="C2150" s="19">
        <v>-17.273123420774404</v>
      </c>
      <c r="D2150" s="5">
        <v>123803.60327858431</v>
      </c>
      <c r="E2150" s="6">
        <v>85.873351136884253</v>
      </c>
    </row>
    <row r="2151" spans="1:5" x14ac:dyDescent="0.3">
      <c r="A2151" s="4">
        <v>2148</v>
      </c>
      <c r="B2151" s="5">
        <v>47306.374415402039</v>
      </c>
      <c r="C2151" s="19">
        <v>-41.244282194617682</v>
      </c>
      <c r="D2151" s="5">
        <v>87854.258990949194</v>
      </c>
      <c r="E2151" s="6">
        <v>85.713363318634606</v>
      </c>
    </row>
    <row r="2152" spans="1:5" x14ac:dyDescent="0.3">
      <c r="A2152" s="4">
        <v>2149</v>
      </c>
      <c r="B2152" s="5">
        <v>31096.502502495099</v>
      </c>
      <c r="C2152" s="19">
        <v>-61.377354566912231</v>
      </c>
      <c r="D2152" s="5">
        <v>62368.565047952194</v>
      </c>
      <c r="E2152" s="6">
        <v>100.56456523671082</v>
      </c>
    </row>
    <row r="2153" spans="1:5" x14ac:dyDescent="0.3">
      <c r="A2153" s="4">
        <v>2150</v>
      </c>
      <c r="B2153" s="5">
        <v>67319.292423633451</v>
      </c>
      <c r="C2153" s="19">
        <v>-16.387730038909524</v>
      </c>
      <c r="D2153" s="5">
        <v>134458.10139315311</v>
      </c>
      <c r="E2153" s="6">
        <v>99.731899359580268</v>
      </c>
    </row>
    <row r="2154" spans="1:5" x14ac:dyDescent="0.3">
      <c r="A2154" s="4">
        <v>2151</v>
      </c>
      <c r="B2154" s="5">
        <v>65490.128788146176</v>
      </c>
      <c r="C2154" s="19">
        <v>-18.659597703990325</v>
      </c>
      <c r="D2154" s="5">
        <v>110886.42190859969</v>
      </c>
      <c r="E2154" s="6">
        <v>69.3177643111771</v>
      </c>
    </row>
    <row r="2155" spans="1:5" x14ac:dyDescent="0.3">
      <c r="A2155" s="4">
        <v>2152</v>
      </c>
      <c r="B2155" s="5">
        <v>49884.195965700797</v>
      </c>
      <c r="C2155" s="19">
        <v>-38.0425623960978</v>
      </c>
      <c r="D2155" s="5">
        <v>88586.671979289298</v>
      </c>
      <c r="E2155" s="6">
        <v>77.584644323423419</v>
      </c>
    </row>
    <row r="2156" spans="1:5" x14ac:dyDescent="0.3">
      <c r="A2156" s="4">
        <v>2153</v>
      </c>
      <c r="B2156" s="5">
        <v>72558.277125789929</v>
      </c>
      <c r="C2156" s="19">
        <v>-9.8807780572670527</v>
      </c>
      <c r="D2156" s="5">
        <v>125845.57875344175</v>
      </c>
      <c r="E2156" s="6">
        <v>73.440693106963977</v>
      </c>
    </row>
    <row r="2157" spans="1:5" x14ac:dyDescent="0.3">
      <c r="A2157" s="4">
        <v>2154</v>
      </c>
      <c r="B2157" s="5">
        <v>46879.434951602132</v>
      </c>
      <c r="C2157" s="19">
        <v>-41.774551845695427</v>
      </c>
      <c r="D2157" s="5">
        <v>91828.603875355213</v>
      </c>
      <c r="E2157" s="6">
        <v>95.882488707805805</v>
      </c>
    </row>
    <row r="2158" spans="1:5" x14ac:dyDescent="0.3">
      <c r="A2158" s="4">
        <v>2155</v>
      </c>
      <c r="B2158" s="5">
        <v>37583.136714574794</v>
      </c>
      <c r="C2158" s="19">
        <v>-53.320790224758696</v>
      </c>
      <c r="D2158" s="5">
        <v>66013.665325305701</v>
      </c>
      <c r="E2158" s="6">
        <v>75.647035069602126</v>
      </c>
    </row>
    <row r="2159" spans="1:5" x14ac:dyDescent="0.3">
      <c r="A2159" s="4">
        <v>2156</v>
      </c>
      <c r="B2159" s="5">
        <v>54694.134080206284</v>
      </c>
      <c r="C2159" s="19">
        <v>-32.068497166841418</v>
      </c>
      <c r="D2159" s="5">
        <v>98389.275301969901</v>
      </c>
      <c r="E2159" s="6">
        <v>79.889995438426396</v>
      </c>
    </row>
    <row r="2160" spans="1:5" x14ac:dyDescent="0.3">
      <c r="A2160" s="4">
        <v>2157</v>
      </c>
      <c r="B2160" s="5">
        <v>53064.811491560999</v>
      </c>
      <c r="C2160" s="19">
        <v>-34.09215717916333</v>
      </c>
      <c r="D2160" s="5">
        <v>92132.465508499808</v>
      </c>
      <c r="E2160" s="6">
        <v>73.622524831077214</v>
      </c>
    </row>
    <row r="2161" spans="1:5" x14ac:dyDescent="0.3">
      <c r="A2161" s="4">
        <v>2158</v>
      </c>
      <c r="B2161" s="5">
        <v>64397.538466819788</v>
      </c>
      <c r="C2161" s="19">
        <v>-20.01662261638446</v>
      </c>
      <c r="D2161" s="5">
        <v>113018.23502531096</v>
      </c>
      <c r="E2161" s="6">
        <v>75.500861859094996</v>
      </c>
    </row>
    <row r="2162" spans="1:5" x14ac:dyDescent="0.3">
      <c r="A2162" s="4">
        <v>2159</v>
      </c>
      <c r="B2162" s="5">
        <v>65699.8692633092</v>
      </c>
      <c r="C2162" s="19">
        <v>-18.399094709978737</v>
      </c>
      <c r="D2162" s="5">
        <v>128524.78565723833</v>
      </c>
      <c r="E2162" s="6">
        <v>95.62411173474645</v>
      </c>
    </row>
    <row r="2163" spans="1:5" x14ac:dyDescent="0.3">
      <c r="A2163" s="4">
        <v>2160</v>
      </c>
      <c r="B2163" s="5">
        <v>163809.71423086175</v>
      </c>
      <c r="C2163" s="19">
        <v>103.45582306969605</v>
      </c>
      <c r="D2163" s="5">
        <v>345584.37284902</v>
      </c>
      <c r="E2163" s="6">
        <v>110.96695911573229</v>
      </c>
    </row>
    <row r="2164" spans="1:5" x14ac:dyDescent="0.3">
      <c r="A2164" s="4">
        <v>2161</v>
      </c>
      <c r="B2164" s="5">
        <v>262708.74177906307</v>
      </c>
      <c r="C2164" s="19">
        <v>226.29092564642065</v>
      </c>
      <c r="D2164" s="5">
        <v>517877.76481822337</v>
      </c>
      <c r="E2164" s="6">
        <v>97.130008431069399</v>
      </c>
    </row>
    <row r="2165" spans="1:5" x14ac:dyDescent="0.3">
      <c r="A2165" s="4">
        <v>2162</v>
      </c>
      <c r="B2165" s="5">
        <v>61724.880348120409</v>
      </c>
      <c r="C2165" s="19">
        <v>-23.336131840102048</v>
      </c>
      <c r="D2165" s="5">
        <v>107873.60627988802</v>
      </c>
      <c r="E2165" s="6">
        <v>74.765193016972589</v>
      </c>
    </row>
    <row r="2166" spans="1:5" x14ac:dyDescent="0.3">
      <c r="A2166" s="4">
        <v>2163</v>
      </c>
      <c r="B2166" s="5">
        <v>127520.16109726497</v>
      </c>
      <c r="C2166" s="19">
        <v>58.383276937164041</v>
      </c>
      <c r="D2166" s="5">
        <v>222378.30485861929</v>
      </c>
      <c r="E2166" s="6">
        <v>74.3867816234972</v>
      </c>
    </row>
    <row r="2167" spans="1:5" x14ac:dyDescent="0.3">
      <c r="A2167" s="4">
        <v>2164</v>
      </c>
      <c r="B2167" s="5">
        <v>86677.596814215722</v>
      </c>
      <c r="C2167" s="19">
        <v>7.6557753875690375</v>
      </c>
      <c r="D2167" s="5">
        <v>151439.46138966887</v>
      </c>
      <c r="E2167" s="6">
        <v>74.7158054165523</v>
      </c>
    </row>
    <row r="2168" spans="1:5" x14ac:dyDescent="0.3">
      <c r="A2168" s="4">
        <v>2165</v>
      </c>
      <c r="B2168" s="5">
        <v>140056.56485235668</v>
      </c>
      <c r="C2168" s="19">
        <v>73.953808613518547</v>
      </c>
      <c r="D2168" s="5">
        <v>236240.80038574056</v>
      </c>
      <c r="E2168" s="6">
        <v>68.675278188336506</v>
      </c>
    </row>
    <row r="2169" spans="1:5" x14ac:dyDescent="0.3">
      <c r="A2169" s="4">
        <v>2166</v>
      </c>
      <c r="B2169" s="5">
        <v>80317.605570903717</v>
      </c>
      <c r="C2169" s="19">
        <v>-0.24349517278652211</v>
      </c>
      <c r="D2169" s="5">
        <v>144098.16628724494</v>
      </c>
      <c r="E2169" s="6">
        <v>79.410435934916251</v>
      </c>
    </row>
    <row r="2170" spans="1:5" x14ac:dyDescent="0.3">
      <c r="A2170" s="4">
        <v>2167</v>
      </c>
      <c r="B2170" s="5">
        <v>52820.456847721136</v>
      </c>
      <c r="C2170" s="19">
        <v>-34.395651849285741</v>
      </c>
      <c r="D2170" s="5">
        <v>93817.151423638279</v>
      </c>
      <c r="E2170" s="6">
        <v>77.615183628775995</v>
      </c>
    </row>
    <row r="2171" spans="1:5" x14ac:dyDescent="0.3">
      <c r="A2171" s="4">
        <v>2168</v>
      </c>
      <c r="B2171" s="5">
        <v>80429.282242311529</v>
      </c>
      <c r="C2171" s="19">
        <v>-0.1047899122002147</v>
      </c>
      <c r="D2171" s="5">
        <v>160946.67248196606</v>
      </c>
      <c r="E2171" s="6">
        <v>100.10954716352877</v>
      </c>
    </row>
    <row r="2172" spans="1:5" x14ac:dyDescent="0.3">
      <c r="A2172" s="4">
        <v>2169</v>
      </c>
      <c r="B2172" s="5">
        <v>58430.909958771073</v>
      </c>
      <c r="C2172" s="19">
        <v>-27.427326674785512</v>
      </c>
      <c r="D2172" s="5">
        <v>106589.1101949631</v>
      </c>
      <c r="E2172" s="6">
        <v>82.419048873571384</v>
      </c>
    </row>
    <row r="2173" spans="1:5" x14ac:dyDescent="0.3">
      <c r="A2173" s="4">
        <v>2170</v>
      </c>
      <c r="B2173" s="5">
        <v>53414.784737947768</v>
      </c>
      <c r="C2173" s="19">
        <v>-33.657481523752296</v>
      </c>
      <c r="D2173" s="5">
        <v>109148.99497331023</v>
      </c>
      <c r="E2173" s="6">
        <v>104.34229120044903</v>
      </c>
    </row>
    <row r="2174" spans="1:5" x14ac:dyDescent="0.3">
      <c r="A2174" s="4">
        <v>2171</v>
      </c>
      <c r="B2174" s="5">
        <v>26907.993390109601</v>
      </c>
      <c r="C2174" s="19">
        <v>-66.579589201753961</v>
      </c>
      <c r="D2174" s="5">
        <v>55164.846503516994</v>
      </c>
      <c r="E2174" s="6">
        <v>105.01285883247459</v>
      </c>
    </row>
    <row r="2175" spans="1:5" x14ac:dyDescent="0.3">
      <c r="A2175" s="4">
        <v>2172</v>
      </c>
      <c r="B2175" s="5">
        <v>59319.73022080298</v>
      </c>
      <c r="C2175" s="19">
        <v>-26.323389348346694</v>
      </c>
      <c r="D2175" s="5">
        <v>114644.62855817325</v>
      </c>
      <c r="E2175" s="6">
        <v>93.265593305021895</v>
      </c>
    </row>
    <row r="2176" spans="1:5" x14ac:dyDescent="0.3">
      <c r="A2176" s="4">
        <v>2173</v>
      </c>
      <c r="B2176" s="5">
        <v>73849.473762449241</v>
      </c>
      <c r="C2176" s="19">
        <v>-8.2770790599895712</v>
      </c>
      <c r="D2176" s="5">
        <v>128245.52375801431</v>
      </c>
      <c r="E2176" s="6">
        <v>73.658006244621632</v>
      </c>
    </row>
    <row r="2177" spans="1:5" x14ac:dyDescent="0.3">
      <c r="A2177" s="4">
        <v>2174</v>
      </c>
      <c r="B2177" s="5">
        <v>176970.47282002922</v>
      </c>
      <c r="C2177" s="19">
        <v>119.80181929802089</v>
      </c>
      <c r="D2177" s="5">
        <v>266706.23205515702</v>
      </c>
      <c r="E2177" s="6">
        <v>50.706627950519703</v>
      </c>
    </row>
    <row r="2178" spans="1:5" x14ac:dyDescent="0.3">
      <c r="A2178" s="4">
        <v>2175</v>
      </c>
      <c r="B2178" s="5">
        <v>187011.74037225248</v>
      </c>
      <c r="C2178" s="19">
        <v>132.27332847617271</v>
      </c>
      <c r="D2178" s="5">
        <v>334992.09244297404</v>
      </c>
      <c r="E2178" s="6">
        <v>79.128910182944793</v>
      </c>
    </row>
    <row r="2179" spans="1:5" x14ac:dyDescent="0.3">
      <c r="A2179" s="4">
        <v>2176</v>
      </c>
      <c r="B2179" s="5">
        <v>68121.202522659732</v>
      </c>
      <c r="C2179" s="19">
        <v>-15.391737340971249</v>
      </c>
      <c r="D2179" s="5">
        <v>117762.69729180116</v>
      </c>
      <c r="E2179" s="6">
        <v>72.872311308111094</v>
      </c>
    </row>
    <row r="2180" spans="1:5" x14ac:dyDescent="0.3">
      <c r="A2180" s="4">
        <v>2177</v>
      </c>
      <c r="B2180" s="5">
        <v>44177.302515784184</v>
      </c>
      <c r="C2180" s="19">
        <v>-45.130668919423208</v>
      </c>
      <c r="D2180" s="5">
        <v>84004.355655348132</v>
      </c>
      <c r="E2180" s="6">
        <v>90.152750103594641</v>
      </c>
    </row>
    <row r="2181" spans="1:5" x14ac:dyDescent="0.3">
      <c r="A2181" s="4">
        <v>2178</v>
      </c>
      <c r="B2181" s="5">
        <v>38713.964100352743</v>
      </c>
      <c r="C2181" s="19">
        <v>-51.916273907741271</v>
      </c>
      <c r="D2181" s="5">
        <v>73311.816516393475</v>
      </c>
      <c r="E2181" s="6">
        <v>89.367888874302835</v>
      </c>
    </row>
    <row r="2182" spans="1:5" x14ac:dyDescent="0.3">
      <c r="A2182" s="4">
        <v>2179</v>
      </c>
      <c r="B2182" s="5">
        <v>53309.843765166312</v>
      </c>
      <c r="C2182" s="19">
        <v>-33.787820875671898</v>
      </c>
      <c r="D2182" s="5">
        <v>100079.03535269118</v>
      </c>
      <c r="E2182" s="6">
        <v>87.730873482853397</v>
      </c>
    </row>
    <row r="2183" spans="1:5" x14ac:dyDescent="0.3">
      <c r="A2183" s="4">
        <v>2180</v>
      </c>
      <c r="B2183" s="5">
        <v>61747.476481900165</v>
      </c>
      <c r="C2183" s="19">
        <v>-23.308066868388135</v>
      </c>
      <c r="D2183" s="5">
        <v>114205.59669686477</v>
      </c>
      <c r="E2183" s="6">
        <v>84.955893266895671</v>
      </c>
    </row>
    <row r="2184" spans="1:5" x14ac:dyDescent="0.3">
      <c r="A2184" s="4">
        <v>2181</v>
      </c>
      <c r="B2184" s="5">
        <v>43070.190002103482</v>
      </c>
      <c r="C2184" s="19">
        <v>-46.505730763339365</v>
      </c>
      <c r="D2184" s="5">
        <v>87290.987950837094</v>
      </c>
      <c r="E2184" s="6">
        <v>102.67147172226065</v>
      </c>
    </row>
    <row r="2185" spans="1:5" x14ac:dyDescent="0.3">
      <c r="A2185" s="4">
        <v>2182</v>
      </c>
      <c r="B2185" s="5">
        <v>25079.923437737176</v>
      </c>
      <c r="C2185" s="19">
        <v>-68.850098484645073</v>
      </c>
      <c r="D2185" s="5">
        <v>47969.308214798533</v>
      </c>
      <c r="E2185" s="6">
        <v>91.265768150712262</v>
      </c>
    </row>
    <row r="2186" spans="1:5" x14ac:dyDescent="0.3">
      <c r="A2186" s="4">
        <v>2183</v>
      </c>
      <c r="B2186" s="5">
        <v>61896.352385190658</v>
      </c>
      <c r="C2186" s="19">
        <v>-23.123159217572482</v>
      </c>
      <c r="D2186" s="5">
        <v>97118.759975113338</v>
      </c>
      <c r="E2186" s="6">
        <v>56.90546572232261</v>
      </c>
    </row>
    <row r="2187" spans="1:5" x14ac:dyDescent="0.3">
      <c r="A2187" s="4">
        <v>2184</v>
      </c>
      <c r="B2187" s="5">
        <v>41724.664722066613</v>
      </c>
      <c r="C2187" s="19">
        <v>-48.176907314720033</v>
      </c>
      <c r="D2187" s="5">
        <v>77196.085007624657</v>
      </c>
      <c r="E2187" s="6">
        <v>85.013074453294621</v>
      </c>
    </row>
    <row r="2188" spans="1:5" x14ac:dyDescent="0.3">
      <c r="A2188" s="4">
        <v>2185</v>
      </c>
      <c r="B2188" s="5">
        <v>76074.250003029912</v>
      </c>
      <c r="C2188" s="19">
        <v>-5.5138504975166471</v>
      </c>
      <c r="D2188" s="5">
        <v>138382.02554009194</v>
      </c>
      <c r="E2188" s="6">
        <v>81.903897224856522</v>
      </c>
    </row>
    <row r="2189" spans="1:5" x14ac:dyDescent="0.3">
      <c r="A2189" s="4">
        <v>2186</v>
      </c>
      <c r="B2189" s="5">
        <v>148556.35024974711</v>
      </c>
      <c r="C2189" s="19">
        <v>84.510757827804198</v>
      </c>
      <c r="D2189" s="5">
        <v>186319.67252421469</v>
      </c>
      <c r="E2189" s="6">
        <v>25.42020062486819</v>
      </c>
    </row>
    <row r="2190" spans="1:5" x14ac:dyDescent="0.3">
      <c r="A2190" s="4">
        <v>2187</v>
      </c>
      <c r="B2190" s="5">
        <v>61833.255720615278</v>
      </c>
      <c r="C2190" s="19">
        <v>-23.201526876562749</v>
      </c>
      <c r="D2190" s="5">
        <v>119132.68673403135</v>
      </c>
      <c r="E2190" s="6">
        <v>92.667659733647795</v>
      </c>
    </row>
    <row r="2191" spans="1:5" x14ac:dyDescent="0.3">
      <c r="A2191" s="4">
        <v>2188</v>
      </c>
      <c r="B2191" s="5">
        <v>52688.713928341203</v>
      </c>
      <c r="C2191" s="19">
        <v>-34.559279899196582</v>
      </c>
      <c r="D2191" s="5">
        <v>88433.685047163293</v>
      </c>
      <c r="E2191" s="6">
        <v>67.841798468333664</v>
      </c>
    </row>
    <row r="2192" spans="1:5" x14ac:dyDescent="0.3">
      <c r="A2192" s="4">
        <v>2189</v>
      </c>
      <c r="B2192" s="5">
        <v>86613.727390133485</v>
      </c>
      <c r="C2192" s="19">
        <v>7.5764479416562436</v>
      </c>
      <c r="D2192" s="5">
        <v>163512.13033868393</v>
      </c>
      <c r="E2192" s="6">
        <v>88.783158588912372</v>
      </c>
    </row>
    <row r="2193" spans="1:5" x14ac:dyDescent="0.3">
      <c r="A2193" s="4">
        <v>2190</v>
      </c>
      <c r="B2193" s="5">
        <v>42972.937041264122</v>
      </c>
      <c r="C2193" s="19">
        <v>-46.626521409281466</v>
      </c>
      <c r="D2193" s="5">
        <v>78668.892363952851</v>
      </c>
      <c r="E2193" s="6">
        <v>83.066129011410652</v>
      </c>
    </row>
    <row r="2194" spans="1:5" x14ac:dyDescent="0.3">
      <c r="A2194" s="4">
        <v>2191</v>
      </c>
      <c r="B2194" s="5">
        <v>61121.805338110797</v>
      </c>
      <c r="C2194" s="19">
        <v>-24.085166310434786</v>
      </c>
      <c r="D2194" s="5">
        <v>130906.77433166254</v>
      </c>
      <c r="E2194" s="6">
        <v>114.17360565107404</v>
      </c>
    </row>
    <row r="2195" spans="1:5" x14ac:dyDescent="0.3">
      <c r="A2195" s="4">
        <v>2192</v>
      </c>
      <c r="B2195" s="5">
        <v>105359.74072056414</v>
      </c>
      <c r="C2195" s="19">
        <v>30.859472329593963</v>
      </c>
      <c r="D2195" s="5">
        <v>174094.37182472085</v>
      </c>
      <c r="E2195" s="6">
        <v>65.238041242389912</v>
      </c>
    </row>
    <row r="2196" spans="1:5" x14ac:dyDescent="0.3">
      <c r="A2196" s="4">
        <v>2193</v>
      </c>
      <c r="B2196" s="5">
        <v>89094.957295330576</v>
      </c>
      <c r="C2196" s="19">
        <v>10.658198465166466</v>
      </c>
      <c r="D2196" s="5">
        <v>171113.60522745361</v>
      </c>
      <c r="E2196" s="6">
        <v>92.057564672542455</v>
      </c>
    </row>
    <row r="2197" spans="1:5" x14ac:dyDescent="0.3">
      <c r="A2197" s="4">
        <v>2194</v>
      </c>
      <c r="B2197" s="5">
        <v>57227.848406884506</v>
      </c>
      <c r="C2197" s="19">
        <v>-28.921559659635399</v>
      </c>
      <c r="D2197" s="5">
        <v>111860.8421296814</v>
      </c>
      <c r="E2197" s="6">
        <v>95.465748309042752</v>
      </c>
    </row>
    <row r="2198" spans="1:5" x14ac:dyDescent="0.3">
      <c r="A2198" s="4">
        <v>2195</v>
      </c>
      <c r="B2198" s="5">
        <v>41474.105492204537</v>
      </c>
      <c r="C2198" s="19">
        <v>-48.488108238173531</v>
      </c>
      <c r="D2198" s="5">
        <v>72036.224042400878</v>
      </c>
      <c r="E2198" s="6">
        <v>73.689638842098205</v>
      </c>
    </row>
    <row r="2199" spans="1:5" x14ac:dyDescent="0.3">
      <c r="A2199" s="4">
        <v>2196</v>
      </c>
      <c r="B2199" s="5">
        <v>29373.010412979176</v>
      </c>
      <c r="C2199" s="19">
        <v>-63.517975489627396</v>
      </c>
      <c r="D2199" s="5">
        <v>57915.634075451802</v>
      </c>
      <c r="E2199" s="6">
        <v>97.1729600104604</v>
      </c>
    </row>
    <row r="2200" spans="1:5" x14ac:dyDescent="0.3">
      <c r="A2200" s="4">
        <v>2197</v>
      </c>
      <c r="B2200" s="5">
        <v>85076.08358398854</v>
      </c>
      <c r="C2200" s="19">
        <v>5.666655304289562</v>
      </c>
      <c r="D2200" s="5">
        <v>143621.37031511546</v>
      </c>
      <c r="E2200" s="6">
        <v>68.815211355292377</v>
      </c>
    </row>
    <row r="2201" spans="1:5" x14ac:dyDescent="0.3">
      <c r="A2201" s="4">
        <v>2198</v>
      </c>
      <c r="B2201" s="5">
        <v>51899.891062079048</v>
      </c>
      <c r="C2201" s="19">
        <v>-35.539017921847545</v>
      </c>
      <c r="D2201" s="5">
        <v>95535.161549544209</v>
      </c>
      <c r="E2201" s="6">
        <v>84.075842154026262</v>
      </c>
    </row>
    <row r="2202" spans="1:5" x14ac:dyDescent="0.3">
      <c r="A2202" s="4">
        <v>2199</v>
      </c>
      <c r="B2202" s="5">
        <v>77395.997669801567</v>
      </c>
      <c r="C2202" s="19">
        <v>-3.8722063453604174</v>
      </c>
      <c r="D2202" s="5">
        <v>129240.40536902612</v>
      </c>
      <c r="E2202" s="6">
        <v>66.985902708316985</v>
      </c>
    </row>
    <row r="2203" spans="1:5" x14ac:dyDescent="0.3">
      <c r="A2203" s="4">
        <v>2200</v>
      </c>
      <c r="B2203" s="5">
        <v>115279.09677268581</v>
      </c>
      <c r="C2203" s="19">
        <v>43.179564330130312</v>
      </c>
      <c r="D2203" s="5">
        <v>213769.54670154583</v>
      </c>
      <c r="E2203" s="6">
        <v>85.43652117874359</v>
      </c>
    </row>
    <row r="2204" spans="1:5" x14ac:dyDescent="0.3">
      <c r="A2204" s="4">
        <v>2201</v>
      </c>
      <c r="B2204" s="5">
        <v>83465.267337028985</v>
      </c>
      <c r="C2204" s="19">
        <v>3.6659806380892661</v>
      </c>
      <c r="D2204" s="5">
        <v>150545.20268068081</v>
      </c>
      <c r="E2204" s="6">
        <v>80.36868206841784</v>
      </c>
    </row>
    <row r="2205" spans="1:5" x14ac:dyDescent="0.3">
      <c r="A2205" s="4">
        <v>2202</v>
      </c>
      <c r="B2205" s="5">
        <v>29625.534949766436</v>
      </c>
      <c r="C2205" s="19">
        <v>-63.204333605087271</v>
      </c>
      <c r="D2205" s="5">
        <v>59513.586067169752</v>
      </c>
      <c r="E2205" s="6">
        <v>100.88611452276561</v>
      </c>
    </row>
    <row r="2206" spans="1:5" x14ac:dyDescent="0.3">
      <c r="A2206" s="4">
        <v>2203</v>
      </c>
      <c r="B2206" s="5">
        <v>75271.074473435365</v>
      </c>
      <c r="C2206" s="19">
        <v>-6.5114148923412314</v>
      </c>
      <c r="D2206" s="5">
        <v>149717.64392824119</v>
      </c>
      <c r="E2206" s="6">
        <v>98.904619039388734</v>
      </c>
    </row>
    <row r="2207" spans="1:5" x14ac:dyDescent="0.3">
      <c r="A2207" s="4">
        <v>2204</v>
      </c>
      <c r="B2207" s="5">
        <v>77848.898171851586</v>
      </c>
      <c r="C2207" s="19">
        <v>-3.3096924258049372</v>
      </c>
      <c r="D2207" s="5">
        <v>127326.35492449146</v>
      </c>
      <c r="E2207" s="6">
        <v>63.555757261224556</v>
      </c>
    </row>
    <row r="2208" spans="1:5" x14ac:dyDescent="0.3">
      <c r="A2208" s="4">
        <v>2205</v>
      </c>
      <c r="B2208" s="5">
        <v>62669.064778684333</v>
      </c>
      <c r="C2208" s="19">
        <v>-22.163430811033383</v>
      </c>
      <c r="D2208" s="5">
        <v>110844.74714587184</v>
      </c>
      <c r="E2208" s="6">
        <v>76.873147121821304</v>
      </c>
    </row>
    <row r="2209" spans="1:5" x14ac:dyDescent="0.3">
      <c r="A2209" s="4">
        <v>2206</v>
      </c>
      <c r="B2209" s="5">
        <v>22064.667474965077</v>
      </c>
      <c r="C2209" s="19">
        <v>-72.595122926889218</v>
      </c>
      <c r="D2209" s="5">
        <v>46103.95780475573</v>
      </c>
      <c r="E2209" s="6">
        <v>108.9492527230062</v>
      </c>
    </row>
    <row r="2210" spans="1:5" x14ac:dyDescent="0.3">
      <c r="A2210" s="4">
        <v>2207</v>
      </c>
      <c r="B2210" s="5">
        <v>63269.74349615036</v>
      </c>
      <c r="C2210" s="19">
        <v>-21.417372596865057</v>
      </c>
      <c r="D2210" s="5">
        <v>104817.82446100081</v>
      </c>
      <c r="E2210" s="6">
        <v>65.668167229693992</v>
      </c>
    </row>
    <row r="2211" spans="1:5" x14ac:dyDescent="0.3">
      <c r="A2211" s="4">
        <v>2208</v>
      </c>
      <c r="B2211" s="5">
        <v>51976.370831287422</v>
      </c>
      <c r="C2211" s="19">
        <v>-35.444028107198697</v>
      </c>
      <c r="D2211" s="5">
        <v>98954.537473624616</v>
      </c>
      <c r="E2211" s="6">
        <v>90.383699152112527</v>
      </c>
    </row>
    <row r="2212" spans="1:5" x14ac:dyDescent="0.3">
      <c r="A2212" s="4">
        <v>2209</v>
      </c>
      <c r="B2212" s="5">
        <v>52401.920407818179</v>
      </c>
      <c r="C2212" s="19">
        <v>-34.915484731388851</v>
      </c>
      <c r="D2212" s="5">
        <v>109510.29934214683</v>
      </c>
      <c r="E2212" s="6">
        <v>108.98146191949157</v>
      </c>
    </row>
    <row r="2213" spans="1:5" x14ac:dyDescent="0.3">
      <c r="A2213" s="4">
        <v>2210</v>
      </c>
      <c r="B2213" s="5">
        <v>38651.407906746215</v>
      </c>
      <c r="C2213" s="19">
        <v>-51.993970288069406</v>
      </c>
      <c r="D2213" s="5">
        <v>75323.410163308959</v>
      </c>
      <c r="E2213" s="6">
        <v>94.878826523061832</v>
      </c>
    </row>
    <row r="2214" spans="1:5" x14ac:dyDescent="0.3">
      <c r="A2214" s="4">
        <v>2211</v>
      </c>
      <c r="B2214" s="5">
        <v>65502.320515337953</v>
      </c>
      <c r="C2214" s="19">
        <v>-18.644455269354555</v>
      </c>
      <c r="D2214" s="5">
        <v>128548.82428974663</v>
      </c>
      <c r="E2214" s="6">
        <v>96.250794290021787</v>
      </c>
    </row>
    <row r="2215" spans="1:5" x14ac:dyDescent="0.3">
      <c r="A2215" s="4">
        <v>2212</v>
      </c>
      <c r="B2215" s="5">
        <v>59274.959160292725</v>
      </c>
      <c r="C2215" s="19">
        <v>-26.378996141927814</v>
      </c>
      <c r="D2215" s="5">
        <v>121410.73912133589</v>
      </c>
      <c r="E2215" s="6">
        <v>104.82635642652095</v>
      </c>
    </row>
    <row r="2216" spans="1:5" x14ac:dyDescent="0.3">
      <c r="A2216" s="4">
        <v>2213</v>
      </c>
      <c r="B2216" s="5">
        <v>84191.897085564153</v>
      </c>
      <c r="C2216" s="19">
        <v>4.5684732298704702</v>
      </c>
      <c r="D2216" s="5">
        <v>164928.68800811551</v>
      </c>
      <c r="E2216" s="6">
        <v>95.896153569860317</v>
      </c>
    </row>
    <row r="2217" spans="1:5" x14ac:dyDescent="0.3">
      <c r="A2217" s="4">
        <v>2214</v>
      </c>
      <c r="B2217" s="5">
        <v>74731.62716824052</v>
      </c>
      <c r="C2217" s="19">
        <v>-7.1814221382269521</v>
      </c>
      <c r="D2217" s="5">
        <v>154930.43412640251</v>
      </c>
      <c r="E2217" s="6">
        <v>107.31575103752715</v>
      </c>
    </row>
    <row r="2218" spans="1:5" x14ac:dyDescent="0.3">
      <c r="A2218" s="4">
        <v>2215</v>
      </c>
      <c r="B2218" s="5">
        <v>56809.213892240346</v>
      </c>
      <c r="C2218" s="19">
        <v>-29.441514353056526</v>
      </c>
      <c r="D2218" s="5">
        <v>114580.27099919615</v>
      </c>
      <c r="E2218" s="6">
        <v>101.69311129096054</v>
      </c>
    </row>
    <row r="2219" spans="1:5" x14ac:dyDescent="0.3">
      <c r="A2219" s="4">
        <v>2216</v>
      </c>
      <c r="B2219" s="5">
        <v>47750.80456751465</v>
      </c>
      <c r="C2219" s="19">
        <v>-40.692288664688029</v>
      </c>
      <c r="D2219" s="5">
        <v>86731.640695004928</v>
      </c>
      <c r="E2219" s="6">
        <v>81.633883408970519</v>
      </c>
    </row>
    <row r="2220" spans="1:5" x14ac:dyDescent="0.3">
      <c r="A2220" s="4">
        <v>2217</v>
      </c>
      <c r="B2220" s="5">
        <v>44827.541707314536</v>
      </c>
      <c r="C2220" s="19">
        <v>-44.323055338469551</v>
      </c>
      <c r="D2220" s="5">
        <v>90936.223917481751</v>
      </c>
      <c r="E2220" s="6">
        <v>102.85793165107609</v>
      </c>
    </row>
    <row r="2221" spans="1:5" x14ac:dyDescent="0.3">
      <c r="A2221" s="4">
        <v>2218</v>
      </c>
      <c r="B2221" s="5">
        <v>93472.741240185176</v>
      </c>
      <c r="C2221" s="19">
        <v>16.095517246312891</v>
      </c>
      <c r="D2221" s="5">
        <v>175627.26953365633</v>
      </c>
      <c r="E2221" s="6">
        <v>87.891429312390628</v>
      </c>
    </row>
    <row r="2222" spans="1:5" x14ac:dyDescent="0.3">
      <c r="A2222" s="4">
        <v>2219</v>
      </c>
      <c r="B2222" s="5">
        <v>50782.976489328306</v>
      </c>
      <c r="C2222" s="19">
        <v>-36.926254171935135</v>
      </c>
      <c r="D2222" s="5">
        <v>95494.421723673644</v>
      </c>
      <c r="E2222" s="6">
        <v>88.044160317663028</v>
      </c>
    </row>
    <row r="2223" spans="1:5" x14ac:dyDescent="0.3">
      <c r="A2223" s="4">
        <v>2220</v>
      </c>
      <c r="B2223" s="5">
        <v>75708.149437391548</v>
      </c>
      <c r="C2223" s="19">
        <v>-5.9685566927991838</v>
      </c>
      <c r="D2223" s="5">
        <v>146358.13137995341</v>
      </c>
      <c r="E2223" s="6">
        <v>93.318859947814943</v>
      </c>
    </row>
    <row r="2224" spans="1:5" x14ac:dyDescent="0.3">
      <c r="A2224" s="4">
        <v>2221</v>
      </c>
      <c r="B2224" s="5">
        <v>81137.897559807956</v>
      </c>
      <c r="C2224" s="19">
        <v>0.77532829896914246</v>
      </c>
      <c r="D2224" s="5">
        <v>140680.75472991669</v>
      </c>
      <c r="E2224" s="6">
        <v>73.384767119728238</v>
      </c>
    </row>
    <row r="2225" spans="1:5" x14ac:dyDescent="0.3">
      <c r="A2225" s="4">
        <v>2222</v>
      </c>
      <c r="B2225" s="5">
        <v>86662.315178967285</v>
      </c>
      <c r="C2225" s="19">
        <v>7.6367952086955198</v>
      </c>
      <c r="D2225" s="5">
        <v>132679.65379944802</v>
      </c>
      <c r="E2225" s="6">
        <v>53.099595280197434</v>
      </c>
    </row>
    <row r="2226" spans="1:5" x14ac:dyDescent="0.3">
      <c r="A2226" s="4">
        <v>2223</v>
      </c>
      <c r="B2226" s="5">
        <v>92899.937007901215</v>
      </c>
      <c r="C2226" s="19">
        <v>15.384079850280962</v>
      </c>
      <c r="D2226" s="5">
        <v>149117.13502229517</v>
      </c>
      <c r="E2226" s="6">
        <v>60.513709508341904</v>
      </c>
    </row>
    <row r="2227" spans="1:5" x14ac:dyDescent="0.3">
      <c r="A2227" s="4">
        <v>2224</v>
      </c>
      <c r="B2227" s="5">
        <v>49598.070434234367</v>
      </c>
      <c r="C2227" s="19">
        <v>-38.39793756892616</v>
      </c>
      <c r="D2227" s="5">
        <v>100600.83760425499</v>
      </c>
      <c r="E2227" s="6">
        <v>102.83216004874393</v>
      </c>
    </row>
    <row r="2228" spans="1:5" x14ac:dyDescent="0.3">
      <c r="A2228" s="4">
        <v>2225</v>
      </c>
      <c r="B2228" s="5">
        <v>92409.095882543741</v>
      </c>
      <c r="C2228" s="19">
        <v>14.774442713527772</v>
      </c>
      <c r="D2228" s="5">
        <v>176146.3567743988</v>
      </c>
      <c r="E2228" s="6">
        <v>90.615820977503134</v>
      </c>
    </row>
    <row r="2229" spans="1:5" x14ac:dyDescent="0.3">
      <c r="A2229" s="4">
        <v>2226</v>
      </c>
      <c r="B2229" s="5">
        <v>36670.166183448062</v>
      </c>
      <c r="C2229" s="19">
        <v>-54.454722798421486</v>
      </c>
      <c r="D2229" s="5">
        <v>66966.866585095573</v>
      </c>
      <c r="E2229" s="6">
        <v>82.61947941572906</v>
      </c>
    </row>
    <row r="2230" spans="1:5" x14ac:dyDescent="0.3">
      <c r="A2230" s="4">
        <v>2227</v>
      </c>
      <c r="B2230" s="5">
        <v>131193.28689347531</v>
      </c>
      <c r="C2230" s="19">
        <v>62.945392411300638</v>
      </c>
      <c r="D2230" s="5">
        <v>232981.71090737192</v>
      </c>
      <c r="E2230" s="6">
        <v>77.586610126282991</v>
      </c>
    </row>
    <row r="2231" spans="1:5" x14ac:dyDescent="0.3">
      <c r="A2231" s="4">
        <v>2228</v>
      </c>
      <c r="B2231" s="5">
        <v>140666.65938784668</v>
      </c>
      <c r="C2231" s="19">
        <v>74.711561512675104</v>
      </c>
      <c r="D2231" s="5">
        <v>263896.77921460144</v>
      </c>
      <c r="E2231" s="6">
        <v>87.604355120842229</v>
      </c>
    </row>
    <row r="2232" spans="1:5" x14ac:dyDescent="0.3">
      <c r="A2232" s="4">
        <v>2229</v>
      </c>
      <c r="B2232" s="5">
        <v>74148.828767478524</v>
      </c>
      <c r="C2232" s="19">
        <v>-7.9052725451913721</v>
      </c>
      <c r="D2232" s="5">
        <v>134047.71190512864</v>
      </c>
      <c r="E2232" s="6">
        <v>80.781968013932541</v>
      </c>
    </row>
    <row r="2233" spans="1:5" x14ac:dyDescent="0.3">
      <c r="A2233" s="4">
        <v>2230</v>
      </c>
      <c r="B2233" s="5">
        <v>54588.119318897348</v>
      </c>
      <c r="C2233" s="19">
        <v>-32.200170191368208</v>
      </c>
      <c r="D2233" s="5">
        <v>85314.716952376024</v>
      </c>
      <c r="E2233" s="6">
        <v>56.288067837577479</v>
      </c>
    </row>
    <row r="2234" spans="1:5" x14ac:dyDescent="0.3">
      <c r="A2234" s="4">
        <v>2231</v>
      </c>
      <c r="B2234" s="5">
        <v>71726.983075110984</v>
      </c>
      <c r="C2234" s="19">
        <v>-10.913266369013108</v>
      </c>
      <c r="D2234" s="5">
        <v>115512.13198679945</v>
      </c>
      <c r="E2234" s="6">
        <v>61.044180355163661</v>
      </c>
    </row>
    <row r="2235" spans="1:5" x14ac:dyDescent="0.3">
      <c r="A2235" s="4">
        <v>2232</v>
      </c>
      <c r="B2235" s="5">
        <v>102517.28546098957</v>
      </c>
      <c r="C2235" s="19">
        <v>27.329070746935102</v>
      </c>
      <c r="D2235" s="5">
        <v>131703.37084894395</v>
      </c>
      <c r="E2235" s="6">
        <v>28.469428600955705</v>
      </c>
    </row>
    <row r="2236" spans="1:5" x14ac:dyDescent="0.3">
      <c r="A2236" s="4">
        <v>2233</v>
      </c>
      <c r="B2236" s="5">
        <v>64725.164850316323</v>
      </c>
      <c r="C2236" s="19">
        <v>-19.609702331915294</v>
      </c>
      <c r="D2236" s="5">
        <v>127684.19117959162</v>
      </c>
      <c r="E2236" s="6">
        <v>97.27132634559463</v>
      </c>
    </row>
    <row r="2237" spans="1:5" x14ac:dyDescent="0.3">
      <c r="A2237" s="4">
        <v>2234</v>
      </c>
      <c r="B2237" s="5">
        <v>52948.112931435644</v>
      </c>
      <c r="C2237" s="19">
        <v>-34.237099753007826</v>
      </c>
      <c r="D2237" s="5">
        <v>100402.99994221375</v>
      </c>
      <c r="E2237" s="6">
        <v>89.625265913119676</v>
      </c>
    </row>
    <row r="2238" spans="1:5" x14ac:dyDescent="0.3">
      <c r="A2238" s="4">
        <v>2235</v>
      </c>
      <c r="B2238" s="5">
        <v>87400.744444415628</v>
      </c>
      <c r="C2238" s="19">
        <v>8.5539430999909616</v>
      </c>
      <c r="D2238" s="5">
        <v>156153.66249158164</v>
      </c>
      <c r="E2238" s="6">
        <v>78.663995923845818</v>
      </c>
    </row>
    <row r="2239" spans="1:5" x14ac:dyDescent="0.3">
      <c r="A2239" s="4">
        <v>2236</v>
      </c>
      <c r="B2239" s="5">
        <v>57578.150796221307</v>
      </c>
      <c r="C2239" s="19">
        <v>-28.486475200325767</v>
      </c>
      <c r="D2239" s="5">
        <v>100922.40257316659</v>
      </c>
      <c r="E2239" s="6">
        <v>75.278992426046869</v>
      </c>
    </row>
    <row r="2240" spans="1:5" x14ac:dyDescent="0.3">
      <c r="A2240" s="4">
        <v>2237</v>
      </c>
      <c r="B2240" s="5">
        <v>74804.562021181133</v>
      </c>
      <c r="C2240" s="19">
        <v>-7.090835199563557</v>
      </c>
      <c r="D2240" s="5">
        <v>141094.84259817752</v>
      </c>
      <c r="E2240" s="6">
        <v>88.617964982170605</v>
      </c>
    </row>
    <row r="2241" spans="1:5" x14ac:dyDescent="0.3">
      <c r="A2241" s="4">
        <v>2238</v>
      </c>
      <c r="B2241" s="5">
        <v>63952.606404606508</v>
      </c>
      <c r="C2241" s="19">
        <v>-20.569239531399173</v>
      </c>
      <c r="D2241" s="5">
        <v>109485.95768702759</v>
      </c>
      <c r="E2241" s="6">
        <v>71.198585706338491</v>
      </c>
    </row>
    <row r="2242" spans="1:5" x14ac:dyDescent="0.3">
      <c r="A2242" s="4">
        <v>2239</v>
      </c>
      <c r="B2242" s="5">
        <v>51987.235302932437</v>
      </c>
      <c r="C2242" s="19">
        <v>-35.430534157641844</v>
      </c>
      <c r="D2242" s="5">
        <v>92300.628005731982</v>
      </c>
      <c r="E2242" s="6">
        <v>77.544790500766624</v>
      </c>
    </row>
    <row r="2243" spans="1:5" x14ac:dyDescent="0.3">
      <c r="A2243" s="4">
        <v>2240</v>
      </c>
      <c r="B2243" s="5">
        <v>72313.922101790464</v>
      </c>
      <c r="C2243" s="19">
        <v>-10.184273199557339</v>
      </c>
      <c r="D2243" s="5">
        <v>141745.95781329001</v>
      </c>
      <c r="E2243" s="6">
        <v>96.014755794555967</v>
      </c>
    </row>
    <row r="2244" spans="1:5" x14ac:dyDescent="0.3">
      <c r="A2244" s="4">
        <v>2241</v>
      </c>
      <c r="B2244" s="5">
        <v>71874.784748218881</v>
      </c>
      <c r="C2244" s="19">
        <v>-10.729692939351512</v>
      </c>
      <c r="D2244" s="5">
        <v>140732.00179810362</v>
      </c>
      <c r="E2244" s="6">
        <v>95.801632368145746</v>
      </c>
    </row>
    <row r="2245" spans="1:5" x14ac:dyDescent="0.3">
      <c r="A2245" s="4">
        <v>2242</v>
      </c>
      <c r="B2245" s="5">
        <v>38502.060045685837</v>
      </c>
      <c r="C2245" s="19">
        <v>-52.179464122414998</v>
      </c>
      <c r="D2245" s="5">
        <v>80051.591794037682</v>
      </c>
      <c r="E2245" s="6">
        <v>107.91508739805073</v>
      </c>
    </row>
    <row r="2246" spans="1:5" x14ac:dyDescent="0.3">
      <c r="A2246" s="4">
        <v>2243</v>
      </c>
      <c r="B2246" s="5">
        <v>55406.322646696506</v>
      </c>
      <c r="C2246" s="19">
        <v>-31.183940889721708</v>
      </c>
      <c r="D2246" s="5">
        <v>102343.31187218618</v>
      </c>
      <c r="E2246" s="6">
        <v>84.714139079013933</v>
      </c>
    </row>
    <row r="2247" spans="1:5" x14ac:dyDescent="0.3">
      <c r="A2247" s="4">
        <v>2244</v>
      </c>
      <c r="B2247" s="5">
        <v>102324.68216922165</v>
      </c>
      <c r="C2247" s="19">
        <v>27.08985256969471</v>
      </c>
      <c r="D2247" s="5">
        <v>183015.72361746107</v>
      </c>
      <c r="E2247" s="6">
        <v>78.857847136817753</v>
      </c>
    </row>
    <row r="2248" spans="1:5" x14ac:dyDescent="0.3">
      <c r="A2248" s="4">
        <v>2245</v>
      </c>
      <c r="B2248" s="5">
        <v>58825.636038336299</v>
      </c>
      <c r="C2248" s="19">
        <v>-26.937066864602127</v>
      </c>
      <c r="D2248" s="5">
        <v>105477.76119495432</v>
      </c>
      <c r="E2248" s="6">
        <v>79.30577261623678</v>
      </c>
    </row>
    <row r="2249" spans="1:5" x14ac:dyDescent="0.3">
      <c r="A2249" s="4">
        <v>2246</v>
      </c>
      <c r="B2249" s="5">
        <v>77637.298455923781</v>
      </c>
      <c r="C2249" s="19">
        <v>-3.5725046440396397</v>
      </c>
      <c r="D2249" s="5">
        <v>138666.47322062205</v>
      </c>
      <c r="E2249" s="6">
        <v>78.608060788392493</v>
      </c>
    </row>
    <row r="2250" spans="1:5" x14ac:dyDescent="0.3">
      <c r="A2250" s="4">
        <v>2247</v>
      </c>
      <c r="B2250" s="5">
        <v>87632.52352680976</v>
      </c>
      <c r="C2250" s="19">
        <v>8.8418186035912996</v>
      </c>
      <c r="D2250" s="5">
        <v>145644.7140463762</v>
      </c>
      <c r="E2250" s="6">
        <v>66.199383727456564</v>
      </c>
    </row>
    <row r="2251" spans="1:5" x14ac:dyDescent="0.3">
      <c r="A2251" s="4">
        <v>2248</v>
      </c>
      <c r="B2251" s="5">
        <v>136864.46569743316</v>
      </c>
      <c r="C2251" s="19">
        <v>69.989140437797573</v>
      </c>
      <c r="D2251" s="5">
        <v>235087.48609918667</v>
      </c>
      <c r="E2251" s="6">
        <v>71.766634167041971</v>
      </c>
    </row>
    <row r="2252" spans="1:5" x14ac:dyDescent="0.3">
      <c r="A2252" s="4">
        <v>2249</v>
      </c>
      <c r="B2252" s="5">
        <v>73907.98259464404</v>
      </c>
      <c r="C2252" s="19">
        <v>-8.204409605269305</v>
      </c>
      <c r="D2252" s="5">
        <v>141351.16345147145</v>
      </c>
      <c r="E2252" s="6">
        <v>91.252904610759714</v>
      </c>
    </row>
    <row r="2253" spans="1:5" x14ac:dyDescent="0.3">
      <c r="A2253" s="4">
        <v>2250</v>
      </c>
      <c r="B2253" s="5">
        <v>25274.554814323459</v>
      </c>
      <c r="C2253" s="19">
        <v>-68.608361374581236</v>
      </c>
      <c r="D2253" s="5">
        <v>57586.279733900323</v>
      </c>
      <c r="E2253" s="6">
        <v>127.84290428437275</v>
      </c>
    </row>
    <row r="2254" spans="1:5" x14ac:dyDescent="0.3">
      <c r="A2254" s="4">
        <v>2251</v>
      </c>
      <c r="B2254" s="5">
        <v>51161.040361827159</v>
      </c>
      <c r="C2254" s="19">
        <v>-36.456689245866301</v>
      </c>
      <c r="D2254" s="5">
        <v>103663.05869400836</v>
      </c>
      <c r="E2254" s="6">
        <v>102.62109206706941</v>
      </c>
    </row>
    <row r="2255" spans="1:5" x14ac:dyDescent="0.3">
      <c r="A2255" s="4">
        <v>2252</v>
      </c>
      <c r="B2255" s="5">
        <v>55577.318698934207</v>
      </c>
      <c r="C2255" s="19">
        <v>-30.971559452436125</v>
      </c>
      <c r="D2255" s="5">
        <v>111844.59715174898</v>
      </c>
      <c r="E2255" s="6">
        <v>101.24144123903875</v>
      </c>
    </row>
    <row r="2256" spans="1:5" x14ac:dyDescent="0.3">
      <c r="A2256" s="4">
        <v>2253</v>
      </c>
      <c r="B2256" s="5">
        <v>50575.075408483593</v>
      </c>
      <c r="C2256" s="19">
        <v>-37.184472591513888</v>
      </c>
      <c r="D2256" s="5">
        <v>106749.67580539199</v>
      </c>
      <c r="E2256" s="6">
        <v>111.0717086295941</v>
      </c>
    </row>
    <row r="2257" spans="1:5" x14ac:dyDescent="0.3">
      <c r="A2257" s="4">
        <v>2254</v>
      </c>
      <c r="B2257" s="5">
        <v>51162.783104467744</v>
      </c>
      <c r="C2257" s="19">
        <v>-36.454524715270523</v>
      </c>
      <c r="D2257" s="5">
        <v>95001.356148141684</v>
      </c>
      <c r="E2257" s="6">
        <v>85.684496392937177</v>
      </c>
    </row>
    <row r="2258" spans="1:5" x14ac:dyDescent="0.3">
      <c r="A2258" s="4">
        <v>2255</v>
      </c>
      <c r="B2258" s="5">
        <v>54270.671879091409</v>
      </c>
      <c r="C2258" s="19">
        <v>-32.594447969400726</v>
      </c>
      <c r="D2258" s="5">
        <v>93068.403758925371</v>
      </c>
      <c r="E2258" s="6">
        <v>71.489315566740515</v>
      </c>
    </row>
    <row r="2259" spans="1:5" x14ac:dyDescent="0.3">
      <c r="A2259" s="4">
        <v>2256</v>
      </c>
      <c r="B2259" s="5">
        <v>53943.699376429191</v>
      </c>
      <c r="C2259" s="19">
        <v>-33.000556117276162</v>
      </c>
      <c r="D2259" s="5">
        <v>89247.078593898565</v>
      </c>
      <c r="E2259" s="6">
        <v>65.444861263807312</v>
      </c>
    </row>
    <row r="2260" spans="1:5" x14ac:dyDescent="0.3">
      <c r="A2260" s="4">
        <v>2257</v>
      </c>
      <c r="B2260" s="5">
        <v>64793.337250785058</v>
      </c>
      <c r="C2260" s="19">
        <v>-19.525030480107677</v>
      </c>
      <c r="D2260" s="5">
        <v>138492.51157012538</v>
      </c>
      <c r="E2260" s="6">
        <v>113.74498898564968</v>
      </c>
    </row>
    <row r="2261" spans="1:5" x14ac:dyDescent="0.3">
      <c r="A2261" s="4">
        <v>2258</v>
      </c>
      <c r="B2261" s="5">
        <v>48280.1459310875</v>
      </c>
      <c r="C2261" s="19">
        <v>-40.034833254816739</v>
      </c>
      <c r="D2261" s="5">
        <v>90628.995439804596</v>
      </c>
      <c r="E2261" s="6">
        <v>87.714833275698012</v>
      </c>
    </row>
    <row r="2262" spans="1:5" x14ac:dyDescent="0.3">
      <c r="A2262" s="4">
        <v>2259</v>
      </c>
      <c r="B2262" s="5">
        <v>82450.296891679289</v>
      </c>
      <c r="C2262" s="19">
        <v>2.4053615818896463</v>
      </c>
      <c r="D2262" s="5">
        <v>131887.59573483455</v>
      </c>
      <c r="E2262" s="6">
        <v>59.960122288103456</v>
      </c>
    </row>
    <row r="2263" spans="1:5" x14ac:dyDescent="0.3">
      <c r="A2263" s="4">
        <v>2260</v>
      </c>
      <c r="B2263" s="5">
        <v>127881.0922439547</v>
      </c>
      <c r="C2263" s="19">
        <v>58.831562582896609</v>
      </c>
      <c r="D2263" s="5">
        <v>215811.63736392639</v>
      </c>
      <c r="E2263" s="6">
        <v>68.759613776389543</v>
      </c>
    </row>
    <row r="2264" spans="1:5" x14ac:dyDescent="0.3">
      <c r="A2264" s="4">
        <v>2261</v>
      </c>
      <c r="B2264" s="5">
        <v>73544.599042505535</v>
      </c>
      <c r="C2264" s="19">
        <v>-8.6557412008188468</v>
      </c>
      <c r="D2264" s="5">
        <v>142418.47684739015</v>
      </c>
      <c r="E2264" s="6">
        <v>93.649130869662571</v>
      </c>
    </row>
    <row r="2265" spans="1:5" x14ac:dyDescent="0.3">
      <c r="A2265" s="4">
        <v>2262</v>
      </c>
      <c r="B2265" s="5">
        <v>166581.39479672437</v>
      </c>
      <c r="C2265" s="19">
        <v>106.89832068628502</v>
      </c>
      <c r="D2265" s="5">
        <v>255770.33655419067</v>
      </c>
      <c r="E2265" s="6">
        <v>53.540758177887518</v>
      </c>
    </row>
    <row r="2266" spans="1:5" x14ac:dyDescent="0.3">
      <c r="A2266" s="4">
        <v>2263</v>
      </c>
      <c r="B2266" s="5">
        <v>69041.687456351166</v>
      </c>
      <c r="C2266" s="19">
        <v>-14.248471688584427</v>
      </c>
      <c r="D2266" s="5">
        <v>133685.0047559849</v>
      </c>
      <c r="E2266" s="6">
        <v>93.629399398011344</v>
      </c>
    </row>
    <row r="2267" spans="1:5" x14ac:dyDescent="0.3">
      <c r="A2267" s="4">
        <v>2264</v>
      </c>
      <c r="B2267" s="5">
        <v>71680.22159247259</v>
      </c>
      <c r="C2267" s="19">
        <v>-10.971345317400417</v>
      </c>
      <c r="D2267" s="5">
        <v>128277.55606978487</v>
      </c>
      <c r="E2267" s="6">
        <v>78.958090837230031</v>
      </c>
    </row>
    <row r="2268" spans="1:5" x14ac:dyDescent="0.3">
      <c r="A2268" s="4">
        <v>2265</v>
      </c>
      <c r="B2268" s="5">
        <v>79533.828641595144</v>
      </c>
      <c r="C2268" s="19">
        <v>-1.2169660136597167</v>
      </c>
      <c r="D2268" s="5">
        <v>148188.57235934323</v>
      </c>
      <c r="E2268" s="6">
        <v>86.321436916017603</v>
      </c>
    </row>
    <row r="2269" spans="1:5" x14ac:dyDescent="0.3">
      <c r="A2269" s="4">
        <v>2266</v>
      </c>
      <c r="B2269" s="5">
        <v>66526.79998213076</v>
      </c>
      <c r="C2269" s="19">
        <v>-17.372025767154348</v>
      </c>
      <c r="D2269" s="5">
        <v>105943.58093756819</v>
      </c>
      <c r="E2269" s="6">
        <v>59.24947685147167</v>
      </c>
    </row>
    <row r="2270" spans="1:5" x14ac:dyDescent="0.3">
      <c r="A2270" s="4">
        <v>2267</v>
      </c>
      <c r="B2270" s="5">
        <v>96120.449398441997</v>
      </c>
      <c r="C2270" s="19">
        <v>19.384037985853997</v>
      </c>
      <c r="D2270" s="5">
        <v>208502.75785047287</v>
      </c>
      <c r="E2270" s="6">
        <v>116.91820955411853</v>
      </c>
    </row>
    <row r="2271" spans="1:5" x14ac:dyDescent="0.3">
      <c r="A2271" s="4">
        <v>2268</v>
      </c>
      <c r="B2271" s="5">
        <v>134151.7082630668</v>
      </c>
      <c r="C2271" s="19">
        <v>66.619826846177489</v>
      </c>
      <c r="D2271" s="5">
        <v>209820.24202692931</v>
      </c>
      <c r="E2271" s="6">
        <v>56.405195836551826</v>
      </c>
    </row>
    <row r="2272" spans="1:5" x14ac:dyDescent="0.3">
      <c r="A2272" s="4">
        <v>2269</v>
      </c>
      <c r="B2272" s="5">
        <v>86126.494056017109</v>
      </c>
      <c r="C2272" s="19">
        <v>6.9712917732013491</v>
      </c>
      <c r="D2272" s="5">
        <v>151962.8732222665</v>
      </c>
      <c r="E2272" s="6">
        <v>76.441494441221622</v>
      </c>
    </row>
    <row r="2273" spans="1:5" x14ac:dyDescent="0.3">
      <c r="A2273" s="4">
        <v>2270</v>
      </c>
      <c r="B2273" s="5">
        <v>32622.292025586557</v>
      </c>
      <c r="C2273" s="19">
        <v>-59.482285249996195</v>
      </c>
      <c r="D2273" s="5">
        <v>75021.101505622573</v>
      </c>
      <c r="E2273" s="6">
        <v>129.96882452888798</v>
      </c>
    </row>
    <row r="2274" spans="1:5" x14ac:dyDescent="0.3">
      <c r="A2274" s="4">
        <v>2271</v>
      </c>
      <c r="B2274" s="5">
        <v>46254.738284874809</v>
      </c>
      <c r="C2274" s="19">
        <v>-42.550440962495792</v>
      </c>
      <c r="D2274" s="5">
        <v>93081.494404740646</v>
      </c>
      <c r="E2274" s="6">
        <v>101.23666862293777</v>
      </c>
    </row>
    <row r="2275" spans="1:5" x14ac:dyDescent="0.3">
      <c r="A2275" s="4">
        <v>2272</v>
      </c>
      <c r="B2275" s="5">
        <v>80117.761725820543</v>
      </c>
      <c r="C2275" s="19">
        <v>-0.49170630103199142</v>
      </c>
      <c r="D2275" s="5">
        <v>145804.36041453324</v>
      </c>
      <c r="E2275" s="6">
        <v>81.987560902544615</v>
      </c>
    </row>
    <row r="2276" spans="1:5" x14ac:dyDescent="0.3">
      <c r="A2276" s="4">
        <v>2273</v>
      </c>
      <c r="B2276" s="5">
        <v>64299.904042054346</v>
      </c>
      <c r="C2276" s="19">
        <v>-20.137887050205485</v>
      </c>
      <c r="D2276" s="5">
        <v>117542.21020403273</v>
      </c>
      <c r="E2276" s="6">
        <v>82.803088053064727</v>
      </c>
    </row>
    <row r="2277" spans="1:5" x14ac:dyDescent="0.3">
      <c r="A2277" s="4">
        <v>2274</v>
      </c>
      <c r="B2277" s="5">
        <v>32327.374339155824</v>
      </c>
      <c r="C2277" s="19">
        <v>-59.848580502462191</v>
      </c>
      <c r="D2277" s="5">
        <v>61346.504197281029</v>
      </c>
      <c r="E2277" s="6">
        <v>89.766430003492175</v>
      </c>
    </row>
    <row r="2278" spans="1:5" x14ac:dyDescent="0.3">
      <c r="A2278" s="4">
        <v>2275</v>
      </c>
      <c r="B2278" s="5">
        <v>42599.196620590847</v>
      </c>
      <c r="C2278" s="19">
        <v>-47.090716498440408</v>
      </c>
      <c r="D2278" s="5">
        <v>96857.000611231604</v>
      </c>
      <c r="E2278" s="6">
        <v>127.36813906113566</v>
      </c>
    </row>
    <row r="2279" spans="1:5" x14ac:dyDescent="0.3">
      <c r="A2279" s="4">
        <v>2276</v>
      </c>
      <c r="B2279" s="5">
        <v>199319.20330928787</v>
      </c>
      <c r="C2279" s="19">
        <v>147.55950984527831</v>
      </c>
      <c r="D2279" s="5">
        <v>309658.90842129057</v>
      </c>
      <c r="E2279" s="6">
        <v>55.358291263479629</v>
      </c>
    </row>
    <row r="2280" spans="1:5" x14ac:dyDescent="0.3">
      <c r="A2280" s="4">
        <v>2277</v>
      </c>
      <c r="B2280" s="5">
        <v>70419.550495566087</v>
      </c>
      <c r="C2280" s="19">
        <v>-12.537130819472711</v>
      </c>
      <c r="D2280" s="5">
        <v>125630.22504671672</v>
      </c>
      <c r="E2280" s="6">
        <v>78.402480792073405</v>
      </c>
    </row>
    <row r="2281" spans="1:5" x14ac:dyDescent="0.3">
      <c r="A2281" s="4">
        <v>2278</v>
      </c>
      <c r="B2281" s="5">
        <v>74591.818275135418</v>
      </c>
      <c r="C2281" s="19">
        <v>-7.35506833224371</v>
      </c>
      <c r="D2281" s="5">
        <v>136155.05679755553</v>
      </c>
      <c r="E2281" s="6">
        <v>82.533500249774335</v>
      </c>
    </row>
    <row r="2282" spans="1:5" x14ac:dyDescent="0.3">
      <c r="A2282" s="4">
        <v>2279</v>
      </c>
      <c r="B2282" s="5">
        <v>73105.710150448853</v>
      </c>
      <c r="C2282" s="19">
        <v>-9.2008523451047939</v>
      </c>
      <c r="D2282" s="5">
        <v>138257.20595462347</v>
      </c>
      <c r="E2282" s="6">
        <v>89.119571740832882</v>
      </c>
    </row>
    <row r="2283" spans="1:5" x14ac:dyDescent="0.3">
      <c r="A2283" s="4">
        <v>2280</v>
      </c>
      <c r="B2283" s="5">
        <v>47389.147566413609</v>
      </c>
      <c r="C2283" s="19">
        <v>-41.141475840023858</v>
      </c>
      <c r="D2283" s="5">
        <v>91441.080534608569</v>
      </c>
      <c r="E2283" s="6">
        <v>92.957850542591629</v>
      </c>
    </row>
    <row r="2284" spans="1:5" x14ac:dyDescent="0.3">
      <c r="A2284" s="4">
        <v>2281</v>
      </c>
      <c r="B2284" s="5">
        <v>41008.312886977968</v>
      </c>
      <c r="C2284" s="19">
        <v>-49.066634477115564</v>
      </c>
      <c r="D2284" s="5">
        <v>83729.388388758482</v>
      </c>
      <c r="E2284" s="6">
        <v>104.17662296794079</v>
      </c>
    </row>
    <row r="2285" spans="1:5" x14ac:dyDescent="0.3">
      <c r="A2285" s="4">
        <v>2282</v>
      </c>
      <c r="B2285" s="5">
        <v>168315.74561172584</v>
      </c>
      <c r="C2285" s="19">
        <v>109.0524284216811</v>
      </c>
      <c r="D2285" s="5">
        <v>244013.34892122712</v>
      </c>
      <c r="E2285" s="6">
        <v>44.973572160100836</v>
      </c>
    </row>
    <row r="2286" spans="1:5" x14ac:dyDescent="0.3">
      <c r="A2286" s="4">
        <v>2283</v>
      </c>
      <c r="B2286" s="5">
        <v>59658.446684301663</v>
      </c>
      <c r="C2286" s="19">
        <v>-25.902694903014478</v>
      </c>
      <c r="D2286" s="5">
        <v>106196.46658568521</v>
      </c>
      <c r="E2286" s="6">
        <v>78.007428097569658</v>
      </c>
    </row>
    <row r="2287" spans="1:5" x14ac:dyDescent="0.3">
      <c r="A2287" s="4">
        <v>2284</v>
      </c>
      <c r="B2287" s="5">
        <v>36113.50735919275</v>
      </c>
      <c r="C2287" s="19">
        <v>-55.146107187861645</v>
      </c>
      <c r="D2287" s="5">
        <v>74003.997310731269</v>
      </c>
      <c r="E2287" s="6">
        <v>104.92054835513902</v>
      </c>
    </row>
    <row r="2288" spans="1:5" x14ac:dyDescent="0.3">
      <c r="A2288" s="4">
        <v>2285</v>
      </c>
      <c r="B2288" s="5">
        <v>88171.201614457255</v>
      </c>
      <c r="C2288" s="19">
        <v>9.5108704617581026</v>
      </c>
      <c r="D2288" s="5">
        <v>161104.75093651423</v>
      </c>
      <c r="E2288" s="6">
        <v>82.718107484766563</v>
      </c>
    </row>
    <row r="2289" spans="1:5" x14ac:dyDescent="0.3">
      <c r="A2289" s="4">
        <v>2286</v>
      </c>
      <c r="B2289" s="5">
        <v>53583.777439602491</v>
      </c>
      <c r="C2289" s="19">
        <v>-33.447588298741984</v>
      </c>
      <c r="D2289" s="5">
        <v>111336.9964006286</v>
      </c>
      <c r="E2289" s="6">
        <v>107.78116385341301</v>
      </c>
    </row>
    <row r="2290" spans="1:5" x14ac:dyDescent="0.3">
      <c r="A2290" s="4">
        <v>2287</v>
      </c>
      <c r="B2290" s="5">
        <v>27171.619476638873</v>
      </c>
      <c r="C2290" s="19">
        <v>-66.252158910642748</v>
      </c>
      <c r="D2290" s="5">
        <v>56457.586406005561</v>
      </c>
      <c r="E2290" s="6">
        <v>107.78145540623979</v>
      </c>
    </row>
    <row r="2291" spans="1:5" x14ac:dyDescent="0.3">
      <c r="A2291" s="4">
        <v>2288</v>
      </c>
      <c r="B2291" s="5">
        <v>28553.892714571615</v>
      </c>
      <c r="C2291" s="19">
        <v>-64.535340462779075</v>
      </c>
      <c r="D2291" s="5">
        <v>65148.599026961892</v>
      </c>
      <c r="E2291" s="6">
        <v>128.16013101329361</v>
      </c>
    </row>
    <row r="2292" spans="1:5" x14ac:dyDescent="0.3">
      <c r="A2292" s="4">
        <v>2289</v>
      </c>
      <c r="B2292" s="5">
        <v>61248.340397817083</v>
      </c>
      <c r="C2292" s="19">
        <v>-23.928006554430127</v>
      </c>
      <c r="D2292" s="5">
        <v>121984.66572432792</v>
      </c>
      <c r="E2292" s="6">
        <v>99.164034375493884</v>
      </c>
    </row>
    <row r="2293" spans="1:5" x14ac:dyDescent="0.3">
      <c r="A2293" s="4">
        <v>2290</v>
      </c>
      <c r="B2293" s="5">
        <v>75218.795545383968</v>
      </c>
      <c r="C2293" s="19">
        <v>-6.5763466479812429</v>
      </c>
      <c r="D2293" s="5">
        <v>124931.43015021963</v>
      </c>
      <c r="E2293" s="6">
        <v>66.090708106115684</v>
      </c>
    </row>
    <row r="2294" spans="1:5" x14ac:dyDescent="0.3">
      <c r="A2294" s="4">
        <v>2291</v>
      </c>
      <c r="B2294" s="5">
        <v>67226.54501339428</v>
      </c>
      <c r="C2294" s="19">
        <v>-16.502924676641442</v>
      </c>
      <c r="D2294" s="5">
        <v>110717.06130712964</v>
      </c>
      <c r="E2294" s="6">
        <v>64.692475695531087</v>
      </c>
    </row>
    <row r="2295" spans="1:5" x14ac:dyDescent="0.3">
      <c r="A2295" s="4">
        <v>2292</v>
      </c>
      <c r="B2295" s="5">
        <v>46911.712998753173</v>
      </c>
      <c r="C2295" s="19">
        <v>-41.7344616918176</v>
      </c>
      <c r="D2295" s="5">
        <v>88454.58422157407</v>
      </c>
      <c r="E2295" s="6">
        <v>88.555434383572887</v>
      </c>
    </row>
    <row r="2296" spans="1:5" x14ac:dyDescent="0.3">
      <c r="A2296" s="4">
        <v>2293</v>
      </c>
      <c r="B2296" s="5">
        <v>130832.40922937445</v>
      </c>
      <c r="C2296" s="19">
        <v>62.497173192301005</v>
      </c>
      <c r="D2296" s="5">
        <v>200055.70421629984</v>
      </c>
      <c r="E2296" s="6">
        <v>52.90989854475859</v>
      </c>
    </row>
    <row r="2297" spans="1:5" x14ac:dyDescent="0.3">
      <c r="A2297" s="4">
        <v>2294</v>
      </c>
      <c r="B2297" s="5">
        <v>89258.21639557356</v>
      </c>
      <c r="C2297" s="19">
        <v>10.860970411686937</v>
      </c>
      <c r="D2297" s="5">
        <v>149931.75735995275</v>
      </c>
      <c r="E2297" s="6">
        <v>67.975300666424786</v>
      </c>
    </row>
    <row r="2298" spans="1:5" x14ac:dyDescent="0.3">
      <c r="A2298" s="4">
        <v>2295</v>
      </c>
      <c r="B2298" s="5">
        <v>44405.045618874261</v>
      </c>
      <c r="C2298" s="19">
        <v>-44.847806204564087</v>
      </c>
      <c r="D2298" s="5">
        <v>90868.633351965778</v>
      </c>
      <c r="E2298" s="6">
        <v>104.63582929716048</v>
      </c>
    </row>
    <row r="2299" spans="1:5" x14ac:dyDescent="0.3">
      <c r="A2299" s="4">
        <v>2296</v>
      </c>
      <c r="B2299" s="5">
        <v>119771.86502580294</v>
      </c>
      <c r="C2299" s="19">
        <v>48.759696540794614</v>
      </c>
      <c r="D2299" s="5">
        <v>211282.36402430871</v>
      </c>
      <c r="E2299" s="6">
        <v>76.40400270864221</v>
      </c>
    </row>
    <row r="2300" spans="1:5" x14ac:dyDescent="0.3">
      <c r="A2300" s="4">
        <v>2297</v>
      </c>
      <c r="B2300" s="5">
        <v>53993.287344113094</v>
      </c>
      <c r="C2300" s="19">
        <v>-32.938966602717436</v>
      </c>
      <c r="D2300" s="5">
        <v>106560.32576705822</v>
      </c>
      <c r="E2300" s="6">
        <v>97.358469929644926</v>
      </c>
    </row>
    <row r="2301" spans="1:5" x14ac:dyDescent="0.3">
      <c r="A2301" s="4">
        <v>2298</v>
      </c>
      <c r="B2301" s="5">
        <v>64115.425898092733</v>
      </c>
      <c r="C2301" s="19">
        <v>-20.367013587629167</v>
      </c>
      <c r="D2301" s="5">
        <v>128019.44687769143</v>
      </c>
      <c r="E2301" s="6">
        <v>99.670274484598991</v>
      </c>
    </row>
    <row r="2302" spans="1:5" x14ac:dyDescent="0.3">
      <c r="A2302" s="4">
        <v>2299</v>
      </c>
      <c r="B2302" s="5">
        <v>54691.12212785778</v>
      </c>
      <c r="C2302" s="19">
        <v>-32.072238088110886</v>
      </c>
      <c r="D2302" s="5">
        <v>112158.33255703383</v>
      </c>
      <c r="E2302" s="6">
        <v>105.07593955528705</v>
      </c>
    </row>
    <row r="2303" spans="1:5" x14ac:dyDescent="0.3">
      <c r="A2303" s="4">
        <v>2300</v>
      </c>
      <c r="B2303" s="5">
        <v>43037.556133883547</v>
      </c>
      <c r="C2303" s="19">
        <v>-46.54626285601659</v>
      </c>
      <c r="D2303" s="5">
        <v>78908.642587304988</v>
      </c>
      <c r="E2303" s="6">
        <v>83.34833497941132</v>
      </c>
    </row>
    <row r="2304" spans="1:5" x14ac:dyDescent="0.3">
      <c r="A2304" s="4">
        <v>2301</v>
      </c>
      <c r="B2304" s="5">
        <v>66494.913652286603</v>
      </c>
      <c r="C2304" s="19">
        <v>-17.41162939819403</v>
      </c>
      <c r="D2304" s="5">
        <v>127280.94518909103</v>
      </c>
      <c r="E2304" s="6">
        <v>91.414558194127579</v>
      </c>
    </row>
    <row r="2305" spans="1:5" x14ac:dyDescent="0.3">
      <c r="A2305" s="4">
        <v>2302</v>
      </c>
      <c r="B2305" s="5">
        <v>38414.802735024619</v>
      </c>
      <c r="C2305" s="19">
        <v>-52.287839917115463</v>
      </c>
      <c r="D2305" s="5">
        <v>77384.571981466011</v>
      </c>
      <c r="E2305" s="6">
        <v>101.44466838797739</v>
      </c>
    </row>
    <row r="2306" spans="1:5" x14ac:dyDescent="0.3">
      <c r="A2306" s="4">
        <v>2303</v>
      </c>
      <c r="B2306" s="5">
        <v>69450.602538768449</v>
      </c>
      <c r="C2306" s="19">
        <v>-13.740588776698198</v>
      </c>
      <c r="D2306" s="5">
        <v>149761.16857840537</v>
      </c>
      <c r="E2306" s="6">
        <v>115.63696080938428</v>
      </c>
    </row>
    <row r="2307" spans="1:5" x14ac:dyDescent="0.3">
      <c r="A2307" s="4">
        <v>2304</v>
      </c>
      <c r="B2307" s="5">
        <v>113838.73518137589</v>
      </c>
      <c r="C2307" s="19">
        <v>41.390598672910897</v>
      </c>
      <c r="D2307" s="5">
        <v>175396.04174946016</v>
      </c>
      <c r="E2307" s="6">
        <v>54.074130804428599</v>
      </c>
    </row>
    <row r="2308" spans="1:5" x14ac:dyDescent="0.3">
      <c r="A2308" s="4">
        <v>2305</v>
      </c>
      <c r="B2308" s="5">
        <v>88251.632738253087</v>
      </c>
      <c r="C2308" s="19">
        <v>9.6107679591021196</v>
      </c>
      <c r="D2308" s="5">
        <v>169348.35012903326</v>
      </c>
      <c r="E2308" s="6">
        <v>91.892597195687259</v>
      </c>
    </row>
    <row r="2309" spans="1:5" x14ac:dyDescent="0.3">
      <c r="A2309" s="4">
        <v>2306</v>
      </c>
      <c r="B2309" s="5">
        <v>80834.898552918312</v>
      </c>
      <c r="C2309" s="19">
        <v>0.39899584136438604</v>
      </c>
      <c r="D2309" s="5">
        <v>159561.75602267517</v>
      </c>
      <c r="E2309" s="6">
        <v>97.392164620851929</v>
      </c>
    </row>
    <row r="2310" spans="1:5" x14ac:dyDescent="0.3">
      <c r="A2310" s="4">
        <v>2307</v>
      </c>
      <c r="B2310" s="5">
        <v>162223.3182660598</v>
      </c>
      <c r="C2310" s="19">
        <v>101.48547901379746</v>
      </c>
      <c r="D2310" s="5">
        <v>227444.12549988378</v>
      </c>
      <c r="E2310" s="6">
        <v>40.204335560968133</v>
      </c>
    </row>
    <row r="2311" spans="1:5" x14ac:dyDescent="0.3">
      <c r="A2311" s="4">
        <v>2308</v>
      </c>
      <c r="B2311" s="5">
        <v>59867.722661321466</v>
      </c>
      <c r="C2311" s="19">
        <v>-25.64276882748716</v>
      </c>
      <c r="D2311" s="5">
        <v>123030.27563898817</v>
      </c>
      <c r="E2311" s="6">
        <v>105.5035170370259</v>
      </c>
    </row>
    <row r="2312" spans="1:5" x14ac:dyDescent="0.3">
      <c r="A2312" s="4">
        <v>2309</v>
      </c>
      <c r="B2312" s="5">
        <v>75952.946107313677</v>
      </c>
      <c r="C2312" s="19">
        <v>-5.6645130150626155</v>
      </c>
      <c r="D2312" s="5">
        <v>127463.37829220085</v>
      </c>
      <c r="E2312" s="6">
        <v>67.818873164061671</v>
      </c>
    </row>
    <row r="2313" spans="1:5" x14ac:dyDescent="0.3">
      <c r="A2313" s="4">
        <v>2310</v>
      </c>
      <c r="B2313" s="5">
        <v>73080.185814284254</v>
      </c>
      <c r="C2313" s="19">
        <v>-9.2325542185074756</v>
      </c>
      <c r="D2313" s="5">
        <v>129095.62834524222</v>
      </c>
      <c r="E2313" s="6">
        <v>76.649288595554154</v>
      </c>
    </row>
    <row r="2314" spans="1:5" x14ac:dyDescent="0.3">
      <c r="A2314" s="4">
        <v>2311</v>
      </c>
      <c r="B2314" s="5">
        <v>104505.28558995458</v>
      </c>
      <c r="C2314" s="19">
        <v>29.798217368674564</v>
      </c>
      <c r="D2314" s="5">
        <v>188716.63362204502</v>
      </c>
      <c r="E2314" s="6">
        <v>80.580946271472726</v>
      </c>
    </row>
    <row r="2315" spans="1:5" x14ac:dyDescent="0.3">
      <c r="A2315" s="4">
        <v>2312</v>
      </c>
      <c r="B2315" s="5">
        <v>85948.129280027613</v>
      </c>
      <c r="C2315" s="19">
        <v>6.7497581939751434</v>
      </c>
      <c r="D2315" s="5">
        <v>148411.12553663287</v>
      </c>
      <c r="E2315" s="6">
        <v>72.675224905820301</v>
      </c>
    </row>
    <row r="2316" spans="1:5" x14ac:dyDescent="0.3">
      <c r="A2316" s="4">
        <v>2313</v>
      </c>
      <c r="B2316" s="5">
        <v>44078.762502025362</v>
      </c>
      <c r="C2316" s="19">
        <v>-45.253058117760645</v>
      </c>
      <c r="D2316" s="5">
        <v>72777.317642011083</v>
      </c>
      <c r="E2316" s="6">
        <v>65.107442929385911</v>
      </c>
    </row>
    <row r="2317" spans="1:5" x14ac:dyDescent="0.3">
      <c r="A2317" s="4">
        <v>2314</v>
      </c>
      <c r="B2317" s="5">
        <v>77736.775330991426</v>
      </c>
      <c r="C2317" s="19">
        <v>-3.4489518401762167</v>
      </c>
      <c r="D2317" s="5">
        <v>129082.66604267932</v>
      </c>
      <c r="E2317" s="6">
        <v>66.050965573327247</v>
      </c>
    </row>
    <row r="2318" spans="1:5" x14ac:dyDescent="0.3">
      <c r="A2318" s="4">
        <v>2315</v>
      </c>
      <c r="B2318" s="5">
        <v>73190.121919633704</v>
      </c>
      <c r="C2318" s="19">
        <v>-9.0960107851465786</v>
      </c>
      <c r="D2318" s="5">
        <v>120946.63766996126</v>
      </c>
      <c r="E2318" s="6">
        <v>65.249946984330094</v>
      </c>
    </row>
    <row r="2319" spans="1:5" x14ac:dyDescent="0.3">
      <c r="A2319" s="4">
        <v>2316</v>
      </c>
      <c r="B2319" s="5">
        <v>25896.399842483213</v>
      </c>
      <c r="C2319" s="19">
        <v>-67.836014065265175</v>
      </c>
      <c r="D2319" s="5">
        <v>55307.170226160109</v>
      </c>
      <c r="E2319" s="6">
        <v>113.57088461164525</v>
      </c>
    </row>
    <row r="2320" spans="1:5" x14ac:dyDescent="0.3">
      <c r="A2320" s="4">
        <v>2317</v>
      </c>
      <c r="B2320" s="5">
        <v>59784.75714715552</v>
      </c>
      <c r="C2320" s="19">
        <v>-25.745814102001489</v>
      </c>
      <c r="D2320" s="5">
        <v>119045.72761466057</v>
      </c>
      <c r="E2320" s="6">
        <v>99.123879221653084</v>
      </c>
    </row>
    <row r="2321" spans="1:5" x14ac:dyDescent="0.3">
      <c r="A2321" s="4">
        <v>2318</v>
      </c>
      <c r="B2321" s="5">
        <v>154677.43711804438</v>
      </c>
      <c r="C2321" s="19">
        <v>92.113303090262775</v>
      </c>
      <c r="D2321" s="5">
        <v>314857.03829713009</v>
      </c>
      <c r="E2321" s="6">
        <v>103.55718595003761</v>
      </c>
    </row>
    <row r="2322" spans="1:5" x14ac:dyDescent="0.3">
      <c r="A2322" s="4">
        <v>2319</v>
      </c>
      <c r="B2322" s="5">
        <v>63787.765726507823</v>
      </c>
      <c r="C2322" s="19">
        <v>-20.773975837761739</v>
      </c>
      <c r="D2322" s="5">
        <v>102488.49124996077</v>
      </c>
      <c r="E2322" s="6">
        <v>60.671078666375621</v>
      </c>
    </row>
    <row r="2323" spans="1:5" x14ac:dyDescent="0.3">
      <c r="A2323" s="4">
        <v>2320</v>
      </c>
      <c r="B2323" s="5">
        <v>36427.017959472396</v>
      </c>
      <c r="C2323" s="19">
        <v>-54.756719064449911</v>
      </c>
      <c r="D2323" s="5">
        <v>81036.038577473591</v>
      </c>
      <c r="E2323" s="6">
        <v>122.46135730251608</v>
      </c>
    </row>
    <row r="2324" spans="1:5" x14ac:dyDescent="0.3">
      <c r="A2324" s="4">
        <v>2321</v>
      </c>
      <c r="B2324" s="5">
        <v>55814.858166969178</v>
      </c>
      <c r="C2324" s="19">
        <v>-30.676529403653539</v>
      </c>
      <c r="D2324" s="5">
        <v>112537.26094596628</v>
      </c>
      <c r="E2324" s="6">
        <v>101.6259910744788</v>
      </c>
    </row>
    <row r="2325" spans="1:5" x14ac:dyDescent="0.3">
      <c r="A2325" s="4">
        <v>2322</v>
      </c>
      <c r="B2325" s="5">
        <v>56820.334635619998</v>
      </c>
      <c r="C2325" s="19">
        <v>-29.427702107500288</v>
      </c>
      <c r="D2325" s="5">
        <v>91742.127233831008</v>
      </c>
      <c r="E2325" s="6">
        <v>61.460026277844115</v>
      </c>
    </row>
    <row r="2326" spans="1:5" x14ac:dyDescent="0.3">
      <c r="A2326" s="4">
        <v>2323</v>
      </c>
      <c r="B2326" s="5">
        <v>82786.005769514028</v>
      </c>
      <c r="C2326" s="19">
        <v>2.8223205294854585</v>
      </c>
      <c r="D2326" s="5">
        <v>141669.99884395796</v>
      </c>
      <c r="E2326" s="6">
        <v>71.127955174433581</v>
      </c>
    </row>
    <row r="2327" spans="1:5" x14ac:dyDescent="0.3">
      <c r="A2327" s="4">
        <v>2324</v>
      </c>
      <c r="B2327" s="5">
        <v>88908.379727557054</v>
      </c>
      <c r="C2327" s="19">
        <v>10.426464390078554</v>
      </c>
      <c r="D2327" s="5">
        <v>159179.25348051096</v>
      </c>
      <c r="E2327" s="6">
        <v>79.037402287934768</v>
      </c>
    </row>
    <row r="2328" spans="1:5" x14ac:dyDescent="0.3">
      <c r="A2328" s="4">
        <v>2325</v>
      </c>
      <c r="B2328" s="5">
        <v>65667.886788855802</v>
      </c>
      <c r="C2328" s="19">
        <v>-18.438817755063543</v>
      </c>
      <c r="D2328" s="5">
        <v>138351.43363136196</v>
      </c>
      <c r="E2328" s="6">
        <v>110.68354776849762</v>
      </c>
    </row>
    <row r="2329" spans="1:5" x14ac:dyDescent="0.3">
      <c r="A2329" s="4">
        <v>2326</v>
      </c>
      <c r="B2329" s="5">
        <v>66939.524777437255</v>
      </c>
      <c r="C2329" s="19">
        <v>-16.859411095157476</v>
      </c>
      <c r="D2329" s="5">
        <v>134782.24046394025</v>
      </c>
      <c r="E2329" s="6">
        <v>101.34926399921227</v>
      </c>
    </row>
    <row r="2330" spans="1:5" x14ac:dyDescent="0.3">
      <c r="A2330" s="4">
        <v>2327</v>
      </c>
      <c r="B2330" s="5">
        <v>99576.87890300194</v>
      </c>
      <c r="C2330" s="19">
        <v>23.677011165341639</v>
      </c>
      <c r="D2330" s="5">
        <v>195835.19315546978</v>
      </c>
      <c r="E2330" s="6">
        <v>96.667334137107559</v>
      </c>
    </row>
    <row r="2331" spans="1:5" x14ac:dyDescent="0.3">
      <c r="A2331" s="4">
        <v>2328</v>
      </c>
      <c r="B2331" s="5">
        <v>33542.920888619752</v>
      </c>
      <c r="C2331" s="19">
        <v>-58.338840833713533</v>
      </c>
      <c r="D2331" s="5">
        <v>58378.437869841357</v>
      </c>
      <c r="E2331" s="6">
        <v>74.041008723386554</v>
      </c>
    </row>
    <row r="2332" spans="1:5" x14ac:dyDescent="0.3">
      <c r="A2332" s="4">
        <v>2329</v>
      </c>
      <c r="B2332" s="5">
        <v>45497.525661147141</v>
      </c>
      <c r="C2332" s="19">
        <v>-43.490918261553631</v>
      </c>
      <c r="D2332" s="5">
        <v>85581.580508788349</v>
      </c>
      <c r="E2332" s="6">
        <v>88.10161490138178</v>
      </c>
    </row>
    <row r="2333" spans="1:5" x14ac:dyDescent="0.3">
      <c r="A2333" s="4">
        <v>2330</v>
      </c>
      <c r="B2333" s="5">
        <v>84118.033099417109</v>
      </c>
      <c r="C2333" s="19">
        <v>4.4767322841804251</v>
      </c>
      <c r="D2333" s="5">
        <v>157721.43580030728</v>
      </c>
      <c r="E2333" s="6">
        <v>87.50014710151396</v>
      </c>
    </row>
    <row r="2334" spans="1:5" x14ac:dyDescent="0.3">
      <c r="A2334" s="4">
        <v>2331</v>
      </c>
      <c r="B2334" s="5">
        <v>169315.74886652789</v>
      </c>
      <c r="C2334" s="19">
        <v>110.29445784730716</v>
      </c>
      <c r="D2334" s="5">
        <v>226448.45871351907</v>
      </c>
      <c r="E2334" s="6">
        <v>33.743293361345287</v>
      </c>
    </row>
    <row r="2335" spans="1:5" x14ac:dyDescent="0.3">
      <c r="A2335" s="4">
        <v>2332</v>
      </c>
      <c r="B2335" s="5">
        <v>30891.498139975141</v>
      </c>
      <c r="C2335" s="19">
        <v>-61.63197518880402</v>
      </c>
      <c r="D2335" s="5">
        <v>64350.779219318378</v>
      </c>
      <c r="E2335" s="6">
        <v>108.3122641955822</v>
      </c>
    </row>
    <row r="2336" spans="1:5" x14ac:dyDescent="0.3">
      <c r="A2336" s="4">
        <v>2333</v>
      </c>
      <c r="B2336" s="5">
        <v>99713.838656237494</v>
      </c>
      <c r="C2336" s="19">
        <v>23.847118655320475</v>
      </c>
      <c r="D2336" s="5">
        <v>172568.35233138673</v>
      </c>
      <c r="E2336" s="6">
        <v>73.063593435926663</v>
      </c>
    </row>
    <row r="2337" spans="1:5" x14ac:dyDescent="0.3">
      <c r="A2337" s="4">
        <v>2334</v>
      </c>
      <c r="B2337" s="5">
        <v>41114.570304110697</v>
      </c>
      <c r="C2337" s="19">
        <v>-48.934660067896267</v>
      </c>
      <c r="D2337" s="5">
        <v>62288.693505066592</v>
      </c>
      <c r="E2337" s="6">
        <v>51.500290637450433</v>
      </c>
    </row>
    <row r="2338" spans="1:5" x14ac:dyDescent="0.3">
      <c r="A2338" s="4">
        <v>2335</v>
      </c>
      <c r="B2338" s="5">
        <v>76149.226588713791</v>
      </c>
      <c r="C2338" s="19">
        <v>-5.4207276749606503</v>
      </c>
      <c r="D2338" s="5">
        <v>155531.37802555208</v>
      </c>
      <c r="E2338" s="6">
        <v>104.24551238791395</v>
      </c>
    </row>
    <row r="2339" spans="1:5" x14ac:dyDescent="0.3">
      <c r="A2339" s="4">
        <v>2336</v>
      </c>
      <c r="B2339" s="5">
        <v>160955.72629795482</v>
      </c>
      <c r="C2339" s="19">
        <v>99.911097614023632</v>
      </c>
      <c r="D2339" s="5">
        <v>281593.80016182445</v>
      </c>
      <c r="E2339" s="6">
        <v>74.951091606737378</v>
      </c>
    </row>
    <row r="2340" spans="1:5" x14ac:dyDescent="0.3">
      <c r="A2340" s="4">
        <v>2337</v>
      </c>
      <c r="B2340" s="5">
        <v>76730.58968543353</v>
      </c>
      <c r="C2340" s="19">
        <v>-4.6986599520491517</v>
      </c>
      <c r="D2340" s="5">
        <v>129731.44262159329</v>
      </c>
      <c r="E2340" s="6">
        <v>69.073954929114009</v>
      </c>
    </row>
    <row r="2341" spans="1:5" x14ac:dyDescent="0.3">
      <c r="A2341" s="4">
        <v>2338</v>
      </c>
      <c r="B2341" s="5">
        <v>26352.181832143218</v>
      </c>
      <c r="C2341" s="19">
        <v>-67.269921264957048</v>
      </c>
      <c r="D2341" s="5">
        <v>54475.176288670591</v>
      </c>
      <c r="E2341" s="6">
        <v>106.71979510335723</v>
      </c>
    </row>
    <row r="2342" spans="1:5" x14ac:dyDescent="0.3">
      <c r="A2342" s="4">
        <v>2339</v>
      </c>
      <c r="B2342" s="5">
        <v>58202.294627900621</v>
      </c>
      <c r="C2342" s="19">
        <v>-27.711272718687685</v>
      </c>
      <c r="D2342" s="5">
        <v>100726.22527074208</v>
      </c>
      <c r="E2342" s="6">
        <v>73.062292328345123</v>
      </c>
    </row>
    <row r="2343" spans="1:5" x14ac:dyDescent="0.3">
      <c r="A2343" s="4">
        <v>2340</v>
      </c>
      <c r="B2343" s="5">
        <v>47502.291766236915</v>
      </c>
      <c r="C2343" s="19">
        <v>-41.000947871895114</v>
      </c>
      <c r="D2343" s="5">
        <v>101988.95278011133</v>
      </c>
      <c r="E2343" s="6">
        <v>114.70322586120312</v>
      </c>
    </row>
    <row r="2344" spans="1:5" x14ac:dyDescent="0.3">
      <c r="A2344" s="4">
        <v>2341</v>
      </c>
      <c r="B2344" s="5">
        <v>52661.225288310954</v>
      </c>
      <c r="C2344" s="19">
        <v>-34.593421487860482</v>
      </c>
      <c r="D2344" s="5">
        <v>108357.37494119052</v>
      </c>
      <c r="E2344" s="6">
        <v>105.7631100452998</v>
      </c>
    </row>
    <row r="2345" spans="1:5" x14ac:dyDescent="0.3">
      <c r="A2345" s="4">
        <v>2342</v>
      </c>
      <c r="B2345" s="5">
        <v>62257.97232003908</v>
      </c>
      <c r="C2345" s="19">
        <v>-22.674018079463263</v>
      </c>
      <c r="D2345" s="5">
        <v>117479.27298202351</v>
      </c>
      <c r="E2345" s="6">
        <v>88.697557283294714</v>
      </c>
    </row>
    <row r="2346" spans="1:5" x14ac:dyDescent="0.3">
      <c r="A2346" s="4">
        <v>2343</v>
      </c>
      <c r="B2346" s="5">
        <v>43699.047245490627</v>
      </c>
      <c r="C2346" s="19">
        <v>-45.724674104719256</v>
      </c>
      <c r="D2346" s="5">
        <v>76947.169501008102</v>
      </c>
      <c r="E2346" s="6">
        <v>76.084318426297955</v>
      </c>
    </row>
    <row r="2347" spans="1:5" x14ac:dyDescent="0.3">
      <c r="A2347" s="4">
        <v>2344</v>
      </c>
      <c r="B2347" s="5">
        <v>35684.697906770685</v>
      </c>
      <c r="C2347" s="19">
        <v>-55.678699412274192</v>
      </c>
      <c r="D2347" s="5">
        <v>71548.287903332413</v>
      </c>
      <c r="E2347" s="6">
        <v>100.50131316862598</v>
      </c>
    </row>
    <row r="2348" spans="1:5" x14ac:dyDescent="0.3">
      <c r="A2348" s="4">
        <v>2345</v>
      </c>
      <c r="B2348" s="5">
        <v>155613.16382338986</v>
      </c>
      <c r="C2348" s="19">
        <v>93.275499409927008</v>
      </c>
      <c r="D2348" s="5">
        <v>297808.89137379773</v>
      </c>
      <c r="E2348" s="6">
        <v>91.377698426458423</v>
      </c>
    </row>
    <row r="2349" spans="1:5" x14ac:dyDescent="0.3">
      <c r="A2349" s="4">
        <v>2346</v>
      </c>
      <c r="B2349" s="5">
        <v>37094.181021916163</v>
      </c>
      <c r="C2349" s="19">
        <v>-53.928085606241829</v>
      </c>
      <c r="D2349" s="5">
        <v>71318.144489132872</v>
      </c>
      <c r="E2349" s="6">
        <v>92.262350925058414</v>
      </c>
    </row>
    <row r="2350" spans="1:5" x14ac:dyDescent="0.3">
      <c r="A2350" s="4">
        <v>2347</v>
      </c>
      <c r="B2350" s="5">
        <v>133337.07433823013</v>
      </c>
      <c r="C2350" s="19">
        <v>65.60803083361283</v>
      </c>
      <c r="D2350" s="5">
        <v>274970.77690560295</v>
      </c>
      <c r="E2350" s="6">
        <v>106.22229658954194</v>
      </c>
    </row>
    <row r="2351" spans="1:5" x14ac:dyDescent="0.3">
      <c r="A2351" s="4">
        <v>2348</v>
      </c>
      <c r="B2351" s="5">
        <v>45468.828035543462</v>
      </c>
      <c r="C2351" s="19">
        <v>-43.526561440987507</v>
      </c>
      <c r="D2351" s="5">
        <v>73013.724837435817</v>
      </c>
      <c r="E2351" s="6">
        <v>60.579737793901835</v>
      </c>
    </row>
    <row r="2352" spans="1:5" x14ac:dyDescent="0.3">
      <c r="A2352" s="4">
        <v>2349</v>
      </c>
      <c r="B2352" s="5">
        <v>45897.125728116574</v>
      </c>
      <c r="C2352" s="19">
        <v>-42.994604835297409</v>
      </c>
      <c r="D2352" s="5">
        <v>98936.739361717962</v>
      </c>
      <c r="E2352" s="6">
        <v>115.56195032297923</v>
      </c>
    </row>
    <row r="2353" spans="1:5" x14ac:dyDescent="0.3">
      <c r="A2353" s="4">
        <v>2350</v>
      </c>
      <c r="B2353" s="5">
        <v>34131.767221486822</v>
      </c>
      <c r="C2353" s="19">
        <v>-57.607478741559483</v>
      </c>
      <c r="D2353" s="5">
        <v>70941.51620412062</v>
      </c>
      <c r="E2353" s="6">
        <v>107.84600968291241</v>
      </c>
    </row>
    <row r="2354" spans="1:5" x14ac:dyDescent="0.3">
      <c r="A2354" s="4">
        <v>2351</v>
      </c>
      <c r="B2354" s="5">
        <v>69230.664253166324</v>
      </c>
      <c r="C2354" s="19">
        <v>-14.013757710126981</v>
      </c>
      <c r="D2354" s="5">
        <v>144448.23039482668</v>
      </c>
      <c r="E2354" s="6">
        <v>108.64776028524126</v>
      </c>
    </row>
    <row r="2355" spans="1:5" x14ac:dyDescent="0.3">
      <c r="A2355" s="4">
        <v>2352</v>
      </c>
      <c r="B2355" s="5">
        <v>66799.629324811729</v>
      </c>
      <c r="C2355" s="19">
        <v>-17.033164798295747</v>
      </c>
      <c r="D2355" s="5">
        <v>109293.1244327078</v>
      </c>
      <c r="E2355" s="6">
        <v>63.613369621068387</v>
      </c>
    </row>
    <row r="2356" spans="1:5" x14ac:dyDescent="0.3">
      <c r="A2356" s="4">
        <v>2353</v>
      </c>
      <c r="B2356" s="5">
        <v>32878.114235699875</v>
      </c>
      <c r="C2356" s="19">
        <v>-59.164547571480007</v>
      </c>
      <c r="D2356" s="5">
        <v>71976.097598418739</v>
      </c>
      <c r="E2356" s="6">
        <v>118.91796190751506</v>
      </c>
    </row>
    <row r="2357" spans="1:5" x14ac:dyDescent="0.3">
      <c r="A2357" s="4">
        <v>2354</v>
      </c>
      <c r="B2357" s="5">
        <v>77563.347608526892</v>
      </c>
      <c r="C2357" s="19">
        <v>-3.6643534736067989</v>
      </c>
      <c r="D2357" s="5">
        <v>142491.03143709747</v>
      </c>
      <c r="E2357" s="6">
        <v>83.709233588356341</v>
      </c>
    </row>
    <row r="2358" spans="1:5" x14ac:dyDescent="0.3">
      <c r="A2358" s="4">
        <v>2355</v>
      </c>
      <c r="B2358" s="5">
        <v>62730.183300828707</v>
      </c>
      <c r="C2358" s="19">
        <v>-22.087520055153774</v>
      </c>
      <c r="D2358" s="5">
        <v>130207.14226801369</v>
      </c>
      <c r="E2358" s="6">
        <v>107.5669724151652</v>
      </c>
    </row>
    <row r="2359" spans="1:5" x14ac:dyDescent="0.3">
      <c r="A2359" s="4">
        <v>2356</v>
      </c>
      <c r="B2359" s="5">
        <v>55074.256441047917</v>
      </c>
      <c r="C2359" s="19">
        <v>-31.596375546000083</v>
      </c>
      <c r="D2359" s="5">
        <v>97092.823089472353</v>
      </c>
      <c r="E2359" s="6">
        <v>76.294387548203332</v>
      </c>
    </row>
    <row r="2360" spans="1:5" x14ac:dyDescent="0.3">
      <c r="A2360" s="4">
        <v>2357</v>
      </c>
      <c r="B2360" s="5">
        <v>79841.075753103854</v>
      </c>
      <c r="C2360" s="19">
        <v>-0.8353573022881039</v>
      </c>
      <c r="D2360" s="5">
        <v>159724.79289044975</v>
      </c>
      <c r="E2360" s="6">
        <v>100.05340782778767</v>
      </c>
    </row>
    <row r="2361" spans="1:5" x14ac:dyDescent="0.3">
      <c r="A2361" s="4">
        <v>2358</v>
      </c>
      <c r="B2361" s="5">
        <v>44599.602374443792</v>
      </c>
      <c r="C2361" s="19">
        <v>-44.606161775697181</v>
      </c>
      <c r="D2361" s="5">
        <v>83214.960681341821</v>
      </c>
      <c r="E2361" s="6">
        <v>86.582292780765187</v>
      </c>
    </row>
    <row r="2362" spans="1:5" x14ac:dyDescent="0.3">
      <c r="A2362" s="4">
        <v>2359</v>
      </c>
      <c r="B2362" s="5">
        <v>59266.687622119738</v>
      </c>
      <c r="C2362" s="19">
        <v>-26.389269602295766</v>
      </c>
      <c r="D2362" s="5">
        <v>128464.31606917731</v>
      </c>
      <c r="E2362" s="6">
        <v>116.75636217137158</v>
      </c>
    </row>
    <row r="2363" spans="1:5" x14ac:dyDescent="0.3">
      <c r="A2363" s="4">
        <v>2360</v>
      </c>
      <c r="B2363" s="5">
        <v>49361.291164353417</v>
      </c>
      <c r="C2363" s="19">
        <v>-38.692023432305284</v>
      </c>
      <c r="D2363" s="5">
        <v>83112.759243278182</v>
      </c>
      <c r="E2363" s="6">
        <v>68.376388224015116</v>
      </c>
    </row>
    <row r="2364" spans="1:5" x14ac:dyDescent="0.3">
      <c r="A2364" s="4">
        <v>2361</v>
      </c>
      <c r="B2364" s="5">
        <v>42854.352795289095</v>
      </c>
      <c r="C2364" s="19">
        <v>-46.773806052815772</v>
      </c>
      <c r="D2364" s="5">
        <v>87448.545266177753</v>
      </c>
      <c r="E2364" s="6">
        <v>104.05989021444472</v>
      </c>
    </row>
    <row r="2365" spans="1:5" x14ac:dyDescent="0.3">
      <c r="A2365" s="4">
        <v>2362</v>
      </c>
      <c r="B2365" s="5">
        <v>34346.711867892882</v>
      </c>
      <c r="C2365" s="19">
        <v>-57.340512034766142</v>
      </c>
      <c r="D2365" s="5">
        <v>73175.172427509809</v>
      </c>
      <c r="E2365" s="6">
        <v>113.04855238825222</v>
      </c>
    </row>
    <row r="2366" spans="1:5" x14ac:dyDescent="0.3">
      <c r="A2366" s="4">
        <v>2363</v>
      </c>
      <c r="B2366" s="5">
        <v>78032.965356785411</v>
      </c>
      <c r="C2366" s="19">
        <v>-3.0810763099251757</v>
      </c>
      <c r="D2366" s="5">
        <v>145748.34091355107</v>
      </c>
      <c r="E2366" s="6">
        <v>86.777908858332808</v>
      </c>
    </row>
    <row r="2367" spans="1:5" x14ac:dyDescent="0.3">
      <c r="A2367" s="4">
        <v>2364</v>
      </c>
      <c r="B2367" s="5">
        <v>66411.119672390618</v>
      </c>
      <c r="C2367" s="19">
        <v>-17.515703648174082</v>
      </c>
      <c r="D2367" s="5">
        <v>120660.95672026719</v>
      </c>
      <c r="E2367" s="6">
        <v>81.687881962378796</v>
      </c>
    </row>
    <row r="2368" spans="1:5" x14ac:dyDescent="0.3">
      <c r="A2368" s="4">
        <v>2365</v>
      </c>
      <c r="B2368" s="5">
        <v>79158.996998050876</v>
      </c>
      <c r="C2368" s="19">
        <v>-1.6825164293230288</v>
      </c>
      <c r="D2368" s="5">
        <v>137490.3528497472</v>
      </c>
      <c r="E2368" s="6">
        <v>73.688851632534721</v>
      </c>
    </row>
    <row r="2369" spans="1:5" x14ac:dyDescent="0.3">
      <c r="A2369" s="4">
        <v>2366</v>
      </c>
      <c r="B2369" s="5">
        <v>43728.622562866818</v>
      </c>
      <c r="C2369" s="19">
        <v>-45.687940809825399</v>
      </c>
      <c r="D2369" s="5">
        <v>85953.70227480086</v>
      </c>
      <c r="E2369" s="6">
        <v>96.561650555603038</v>
      </c>
    </row>
    <row r="2370" spans="1:5" x14ac:dyDescent="0.3">
      <c r="A2370" s="4">
        <v>2367</v>
      </c>
      <c r="B2370" s="5">
        <v>103201.95441378787</v>
      </c>
      <c r="C2370" s="19">
        <v>28.179446965316906</v>
      </c>
      <c r="D2370" s="5">
        <v>173767.09295330802</v>
      </c>
      <c r="E2370" s="6">
        <v>68.375777319671172</v>
      </c>
    </row>
    <row r="2371" spans="1:5" x14ac:dyDescent="0.3">
      <c r="A2371" s="4">
        <v>2368</v>
      </c>
      <c r="B2371" s="5">
        <v>45538.701295045401</v>
      </c>
      <c r="C2371" s="19">
        <v>-43.439777079087612</v>
      </c>
      <c r="D2371" s="5">
        <v>85537.53227601519</v>
      </c>
      <c r="E2371" s="6">
        <v>87.834808291561117</v>
      </c>
    </row>
    <row r="2372" spans="1:5" x14ac:dyDescent="0.3">
      <c r="A2372" s="4">
        <v>2369</v>
      </c>
      <c r="B2372" s="5">
        <v>60068.939056293391</v>
      </c>
      <c r="C2372" s="19">
        <v>-25.392852957440322</v>
      </c>
      <c r="D2372" s="5">
        <v>137758.658515555</v>
      </c>
      <c r="E2372" s="6">
        <v>129.33426273178381</v>
      </c>
    </row>
    <row r="2373" spans="1:5" x14ac:dyDescent="0.3">
      <c r="A2373" s="4">
        <v>2370</v>
      </c>
      <c r="B2373" s="5">
        <v>73019.598656475064</v>
      </c>
      <c r="C2373" s="19">
        <v>-9.307805006395121</v>
      </c>
      <c r="D2373" s="5">
        <v>121128.90668032813</v>
      </c>
      <c r="E2373" s="6">
        <v>65.885473090842495</v>
      </c>
    </row>
    <row r="2374" spans="1:5" x14ac:dyDescent="0.3">
      <c r="A2374" s="4">
        <v>2371</v>
      </c>
      <c r="B2374" s="5">
        <v>49190.798595369022</v>
      </c>
      <c r="C2374" s="19">
        <v>-38.903779530610301</v>
      </c>
      <c r="D2374" s="5">
        <v>100422.88540141047</v>
      </c>
      <c r="E2374" s="6">
        <v>104.14973586313072</v>
      </c>
    </row>
    <row r="2375" spans="1:5" x14ac:dyDescent="0.3">
      <c r="A2375" s="4">
        <v>2372</v>
      </c>
      <c r="B2375" s="5">
        <v>54181.499335098219</v>
      </c>
      <c r="C2375" s="19">
        <v>-32.705202532514022</v>
      </c>
      <c r="D2375" s="5">
        <v>111340.35664166533</v>
      </c>
      <c r="E2375" s="6">
        <v>105.49515611049212</v>
      </c>
    </row>
    <row r="2376" spans="1:5" x14ac:dyDescent="0.3">
      <c r="A2376" s="4">
        <v>2373</v>
      </c>
      <c r="B2376" s="5">
        <v>75276.735906737813</v>
      </c>
      <c r="C2376" s="19">
        <v>-6.5043832484749808</v>
      </c>
      <c r="D2376" s="5">
        <v>155160.20018454871</v>
      </c>
      <c r="E2376" s="6">
        <v>106.11972386366548</v>
      </c>
    </row>
    <row r="2377" spans="1:5" x14ac:dyDescent="0.3">
      <c r="A2377" s="4">
        <v>2374</v>
      </c>
      <c r="B2377" s="5">
        <v>52418.422646704188</v>
      </c>
      <c r="C2377" s="19">
        <v>-34.894988531814789</v>
      </c>
      <c r="D2377" s="5">
        <v>100250.56129890989</v>
      </c>
      <c r="E2377" s="6">
        <v>91.250625709572262</v>
      </c>
    </row>
    <row r="2378" spans="1:5" x14ac:dyDescent="0.3">
      <c r="A2378" s="4">
        <v>2375</v>
      </c>
      <c r="B2378" s="5">
        <v>104999.5390872092</v>
      </c>
      <c r="C2378" s="19">
        <v>30.412092757940499</v>
      </c>
      <c r="D2378" s="5">
        <v>177104.74444896035</v>
      </c>
      <c r="E2378" s="6">
        <v>68.671925599466604</v>
      </c>
    </row>
    <row r="2379" spans="1:5" x14ac:dyDescent="0.3">
      <c r="A2379" s="4">
        <v>2376</v>
      </c>
      <c r="B2379" s="5">
        <v>92333.583574569799</v>
      </c>
      <c r="C2379" s="19">
        <v>14.680654510289234</v>
      </c>
      <c r="D2379" s="5">
        <v>166375.86298031337</v>
      </c>
      <c r="E2379" s="6">
        <v>80.189976971863189</v>
      </c>
    </row>
    <row r="2380" spans="1:5" x14ac:dyDescent="0.3">
      <c r="A2380" s="4">
        <v>2377</v>
      </c>
      <c r="B2380" s="5">
        <v>34558.14534647148</v>
      </c>
      <c r="C2380" s="19">
        <v>-57.077906287538774</v>
      </c>
      <c r="D2380" s="5">
        <v>66968.3306435501</v>
      </c>
      <c r="E2380" s="6">
        <v>93.784504267060811</v>
      </c>
    </row>
    <row r="2381" spans="1:5" x14ac:dyDescent="0.3">
      <c r="A2381" s="4">
        <v>2378</v>
      </c>
      <c r="B2381" s="5">
        <v>54854.336988959105</v>
      </c>
      <c r="C2381" s="19">
        <v>-31.869521087727275</v>
      </c>
      <c r="D2381" s="5">
        <v>87447.101387579736</v>
      </c>
      <c r="E2381" s="6">
        <v>59.416932530204114</v>
      </c>
    </row>
    <row r="2382" spans="1:5" x14ac:dyDescent="0.3">
      <c r="A2382" s="4">
        <v>2379</v>
      </c>
      <c r="B2382" s="5">
        <v>67777.872609079903</v>
      </c>
      <c r="C2382" s="19">
        <v>-15.818161808407819</v>
      </c>
      <c r="D2382" s="5">
        <v>137202.79508678967</v>
      </c>
      <c r="E2382" s="6">
        <v>102.43007017663346</v>
      </c>
    </row>
    <row r="2383" spans="1:5" x14ac:dyDescent="0.3">
      <c r="A2383" s="4">
        <v>2380</v>
      </c>
      <c r="B2383" s="5">
        <v>48770.096008339729</v>
      </c>
      <c r="C2383" s="19">
        <v>-39.426302822427814</v>
      </c>
      <c r="D2383" s="5">
        <v>94392.22401827843</v>
      </c>
      <c r="E2383" s="6">
        <v>93.545290544716735</v>
      </c>
    </row>
    <row r="2384" spans="1:5" x14ac:dyDescent="0.3">
      <c r="A2384" s="4">
        <v>2381</v>
      </c>
      <c r="B2384" s="5">
        <v>54215.845514760993</v>
      </c>
      <c r="C2384" s="19">
        <v>-32.662543705561056</v>
      </c>
      <c r="D2384" s="5">
        <v>87254.132268677189</v>
      </c>
      <c r="E2384" s="6">
        <v>60.938433109783517</v>
      </c>
    </row>
    <row r="2385" spans="1:5" x14ac:dyDescent="0.3">
      <c r="A2385" s="4">
        <v>2382</v>
      </c>
      <c r="B2385" s="5">
        <v>38713.222917512452</v>
      </c>
      <c r="C2385" s="19">
        <v>-51.917194475642425</v>
      </c>
      <c r="D2385" s="5">
        <v>68758.87948624081</v>
      </c>
      <c r="E2385" s="6">
        <v>77.610837601270333</v>
      </c>
    </row>
    <row r="2386" spans="1:5" x14ac:dyDescent="0.3">
      <c r="A2386" s="4">
        <v>2383</v>
      </c>
      <c r="B2386" s="5">
        <v>38814.157940565579</v>
      </c>
      <c r="C2386" s="19">
        <v>-51.791830614968745</v>
      </c>
      <c r="D2386" s="5">
        <v>69651.435992169005</v>
      </c>
      <c r="E2386" s="6">
        <v>79.448530350247964</v>
      </c>
    </row>
    <row r="2387" spans="1:5" x14ac:dyDescent="0.3">
      <c r="A2387" s="4">
        <v>2384</v>
      </c>
      <c r="B2387" s="5">
        <v>52236.730909932405</v>
      </c>
      <c r="C2387" s="19">
        <v>-35.12065428078111</v>
      </c>
      <c r="D2387" s="5">
        <v>88091.581332060421</v>
      </c>
      <c r="E2387" s="6">
        <v>68.639154475324375</v>
      </c>
    </row>
    <row r="2388" spans="1:5" x14ac:dyDescent="0.3">
      <c r="A2388" s="4">
        <v>2385</v>
      </c>
      <c r="B2388" s="5">
        <v>57099.859236424949</v>
      </c>
      <c r="C2388" s="19">
        <v>-29.080525458105434</v>
      </c>
      <c r="D2388" s="5">
        <v>120264.82611989601</v>
      </c>
      <c r="E2388" s="6">
        <v>110.62193099624504</v>
      </c>
    </row>
    <row r="2389" spans="1:5" x14ac:dyDescent="0.3">
      <c r="A2389" s="4">
        <v>2386</v>
      </c>
      <c r="B2389" s="5">
        <v>113061.62573574399</v>
      </c>
      <c r="C2389" s="19">
        <v>40.425409016005403</v>
      </c>
      <c r="D2389" s="5">
        <v>221685.68767801655</v>
      </c>
      <c r="E2389" s="6">
        <v>96.07509288443876</v>
      </c>
    </row>
    <row r="2390" spans="1:5" x14ac:dyDescent="0.3">
      <c r="A2390" s="4">
        <v>2387</v>
      </c>
      <c r="B2390" s="5">
        <v>55770.37050575282</v>
      </c>
      <c r="C2390" s="19">
        <v>-30.731784208118089</v>
      </c>
      <c r="D2390" s="5">
        <v>87832.504824784875</v>
      </c>
      <c r="E2390" s="6">
        <v>57.489548712474104</v>
      </c>
    </row>
    <row r="2391" spans="1:5" x14ac:dyDescent="0.3">
      <c r="A2391" s="4">
        <v>2388</v>
      </c>
      <c r="B2391" s="5">
        <v>68857.411777604415</v>
      </c>
      <c r="C2391" s="19">
        <v>-14.477346759072057</v>
      </c>
      <c r="D2391" s="5">
        <v>136130.674570856</v>
      </c>
      <c r="E2391" s="6">
        <v>97.699377679966673</v>
      </c>
    </row>
    <row r="2392" spans="1:5" x14ac:dyDescent="0.3">
      <c r="A2392" s="4">
        <v>2389</v>
      </c>
      <c r="B2392" s="5">
        <v>112755.45273830443</v>
      </c>
      <c r="C2392" s="19">
        <v>40.045134381572005</v>
      </c>
      <c r="D2392" s="5">
        <v>197679.56495868711</v>
      </c>
      <c r="E2392" s="6">
        <v>75.317077939888307</v>
      </c>
    </row>
    <row r="2393" spans="1:5" x14ac:dyDescent="0.3">
      <c r="A2393" s="4">
        <v>2390</v>
      </c>
      <c r="B2393" s="5">
        <v>96330.909705672908</v>
      </c>
      <c r="C2393" s="19">
        <v>19.645435029565455</v>
      </c>
      <c r="D2393" s="5">
        <v>197931.96165100834</v>
      </c>
      <c r="E2393" s="6">
        <v>105.47087352934254</v>
      </c>
    </row>
    <row r="2394" spans="1:5" x14ac:dyDescent="0.3">
      <c r="A2394" s="4">
        <v>2391</v>
      </c>
      <c r="B2394" s="5">
        <v>57094.85819240471</v>
      </c>
      <c r="C2394" s="19">
        <v>-29.086736881720466</v>
      </c>
      <c r="D2394" s="5">
        <v>116171.08503942072</v>
      </c>
      <c r="E2394" s="6">
        <v>103.47031014234989</v>
      </c>
    </row>
    <row r="2395" spans="1:5" x14ac:dyDescent="0.3">
      <c r="A2395" s="4">
        <v>2392</v>
      </c>
      <c r="B2395" s="5">
        <v>50811.935970705526</v>
      </c>
      <c r="C2395" s="19">
        <v>-36.890285760983815</v>
      </c>
      <c r="D2395" s="5">
        <v>98638.440153052012</v>
      </c>
      <c r="E2395" s="6">
        <v>94.124546267868595</v>
      </c>
    </row>
    <row r="2396" spans="1:5" x14ac:dyDescent="0.3">
      <c r="A2396" s="4">
        <v>2393</v>
      </c>
      <c r="B2396" s="5">
        <v>45291.042240314899</v>
      </c>
      <c r="C2396" s="19">
        <v>-43.74737591141232</v>
      </c>
      <c r="D2396" s="5">
        <v>90867.692316080298</v>
      </c>
      <c r="E2396" s="6">
        <v>100.6306055708214</v>
      </c>
    </row>
    <row r="2397" spans="1:5" x14ac:dyDescent="0.3">
      <c r="A2397" s="4">
        <v>2394</v>
      </c>
      <c r="B2397" s="5">
        <v>93862.195595297948</v>
      </c>
      <c r="C2397" s="19">
        <v>16.579229440913732</v>
      </c>
      <c r="D2397" s="5">
        <v>162226.47717527166</v>
      </c>
      <c r="E2397" s="6">
        <v>72.834735162958879</v>
      </c>
    </row>
    <row r="2398" spans="1:5" x14ac:dyDescent="0.3">
      <c r="A2398" s="4">
        <v>2395</v>
      </c>
      <c r="B2398" s="5">
        <v>67415.167290487894</v>
      </c>
      <c r="C2398" s="19">
        <v>-16.268651020676955</v>
      </c>
      <c r="D2398" s="5">
        <v>139558.36538486052</v>
      </c>
      <c r="E2398" s="6">
        <v>107.01330426654869</v>
      </c>
    </row>
    <row r="2399" spans="1:5" x14ac:dyDescent="0.3">
      <c r="A2399" s="4">
        <v>2396</v>
      </c>
      <c r="B2399" s="5">
        <v>61224.46874459734</v>
      </c>
      <c r="C2399" s="19">
        <v>-23.957655753665115</v>
      </c>
      <c r="D2399" s="5">
        <v>117764.90454851225</v>
      </c>
      <c r="E2399" s="6">
        <v>92.349410232986685</v>
      </c>
    </row>
    <row r="2400" spans="1:5" x14ac:dyDescent="0.3">
      <c r="A2400" s="4">
        <v>2397</v>
      </c>
      <c r="B2400" s="5">
        <v>63578.26582433797</v>
      </c>
      <c r="C2400" s="19">
        <v>-21.034180034009328</v>
      </c>
      <c r="D2400" s="5">
        <v>110819.44840215387</v>
      </c>
      <c r="E2400" s="6">
        <v>74.303981030781458</v>
      </c>
    </row>
    <row r="2401" spans="1:5" x14ac:dyDescent="0.3">
      <c r="A2401" s="4">
        <v>2398</v>
      </c>
      <c r="B2401" s="5">
        <v>54560.541815389566</v>
      </c>
      <c r="C2401" s="19">
        <v>-32.234422150726836</v>
      </c>
      <c r="D2401" s="5">
        <v>111625.85621617144</v>
      </c>
      <c r="E2401" s="6">
        <v>104.59081325450803</v>
      </c>
    </row>
    <row r="2402" spans="1:5" x14ac:dyDescent="0.3">
      <c r="A2402" s="4">
        <v>2399</v>
      </c>
      <c r="B2402" s="5">
        <v>55722.292477353825</v>
      </c>
      <c r="C2402" s="19">
        <v>-30.79149833975805</v>
      </c>
      <c r="D2402" s="5">
        <v>97933.203683623331</v>
      </c>
      <c r="E2402" s="6">
        <v>75.752287512981454</v>
      </c>
    </row>
    <row r="2403" spans="1:5" x14ac:dyDescent="0.3">
      <c r="A2403" s="4">
        <v>2400</v>
      </c>
      <c r="B2403" s="5">
        <v>46216.692738061894</v>
      </c>
      <c r="C2403" s="19">
        <v>-42.597694497350567</v>
      </c>
      <c r="D2403" s="5">
        <v>83362.535927129269</v>
      </c>
      <c r="E2403" s="6">
        <v>80.373217961733999</v>
      </c>
    </row>
    <row r="2404" spans="1:5" x14ac:dyDescent="0.3">
      <c r="A2404" s="4">
        <v>2401</v>
      </c>
      <c r="B2404" s="5">
        <v>67406.96783046372</v>
      </c>
      <c r="C2404" s="19">
        <v>-16.278834958154526</v>
      </c>
      <c r="D2404" s="5">
        <v>132263.21781180205</v>
      </c>
      <c r="E2404" s="6">
        <v>96.215943349446107</v>
      </c>
    </row>
    <row r="2405" spans="1:5" x14ac:dyDescent="0.3">
      <c r="A2405" s="4">
        <v>2402</v>
      </c>
      <c r="B2405" s="5">
        <v>119084.09021855236</v>
      </c>
      <c r="C2405" s="19">
        <v>47.905462772346922</v>
      </c>
      <c r="D2405" s="5">
        <v>193471.53115240877</v>
      </c>
      <c r="E2405" s="6">
        <v>62.466313339871689</v>
      </c>
    </row>
    <row r="2406" spans="1:5" x14ac:dyDescent="0.3">
      <c r="A2406" s="4">
        <v>2403</v>
      </c>
      <c r="B2406" s="5">
        <v>42337.481171180916</v>
      </c>
      <c r="C2406" s="19">
        <v>-47.41577372975155</v>
      </c>
      <c r="D2406" s="5">
        <v>83764.585242097979</v>
      </c>
      <c r="E2406" s="6">
        <v>97.849713598730702</v>
      </c>
    </row>
    <row r="2407" spans="1:5" x14ac:dyDescent="0.3">
      <c r="A2407" s="4">
        <v>2404</v>
      </c>
      <c r="B2407" s="5">
        <v>95233.702233985648</v>
      </c>
      <c r="C2407" s="19">
        <v>18.282675499225618</v>
      </c>
      <c r="D2407" s="5">
        <v>192332.85648582753</v>
      </c>
      <c r="E2407" s="6">
        <v>101.95881497211239</v>
      </c>
    </row>
    <row r="2408" spans="1:5" x14ac:dyDescent="0.3">
      <c r="A2408" s="4">
        <v>2405</v>
      </c>
      <c r="B2408" s="5">
        <v>118171.77811105768</v>
      </c>
      <c r="C2408" s="19">
        <v>46.772347977547959</v>
      </c>
      <c r="D2408" s="5">
        <v>228988.80663597948</v>
      </c>
      <c r="E2408" s="6">
        <v>93.77622161255465</v>
      </c>
    </row>
    <row r="2409" spans="1:5" x14ac:dyDescent="0.3">
      <c r="A2409" s="4">
        <v>2406</v>
      </c>
      <c r="B2409" s="5">
        <v>41006.612417188189</v>
      </c>
      <c r="C2409" s="19">
        <v>-49.068746503757623</v>
      </c>
      <c r="D2409" s="5">
        <v>85095.793601597252</v>
      </c>
      <c r="E2409" s="6">
        <v>107.51724803760867</v>
      </c>
    </row>
    <row r="2410" spans="1:5" x14ac:dyDescent="0.3">
      <c r="A2410" s="4">
        <v>2407</v>
      </c>
      <c r="B2410" s="5">
        <v>102195.36444936709</v>
      </c>
      <c r="C2410" s="19">
        <v>26.929236679153412</v>
      </c>
      <c r="D2410" s="5">
        <v>192378.03634936363</v>
      </c>
      <c r="E2410" s="6">
        <v>88.245364538699533</v>
      </c>
    </row>
    <row r="2411" spans="1:5" x14ac:dyDescent="0.3">
      <c r="A2411" s="4">
        <v>2408</v>
      </c>
      <c r="B2411" s="5">
        <v>63300.055429018619</v>
      </c>
      <c r="C2411" s="19">
        <v>-21.379724406832487</v>
      </c>
      <c r="D2411" s="5">
        <v>134059.07330495171</v>
      </c>
      <c r="E2411" s="6">
        <v>111.78350065629652</v>
      </c>
    </row>
    <row r="2412" spans="1:5" x14ac:dyDescent="0.3">
      <c r="A2412" s="4">
        <v>2409</v>
      </c>
      <c r="B2412" s="5">
        <v>105841.77758741402</v>
      </c>
      <c r="C2412" s="19">
        <v>31.458174353801532</v>
      </c>
      <c r="D2412" s="5">
        <v>183264.14062420654</v>
      </c>
      <c r="E2412" s="6">
        <v>73.149152254977864</v>
      </c>
    </row>
    <row r="2413" spans="1:5" x14ac:dyDescent="0.3">
      <c r="A2413" s="4">
        <v>2410</v>
      </c>
      <c r="B2413" s="5">
        <v>76908.071061653754</v>
      </c>
      <c r="C2413" s="19">
        <v>-4.4782235777597865</v>
      </c>
      <c r="D2413" s="5">
        <v>171145.24981138299</v>
      </c>
      <c r="E2413" s="6">
        <v>122.5322354973427</v>
      </c>
    </row>
    <row r="2414" spans="1:5" x14ac:dyDescent="0.3">
      <c r="A2414" s="4">
        <v>2411</v>
      </c>
      <c r="B2414" s="5">
        <v>60797.865739147077</v>
      </c>
      <c r="C2414" s="19">
        <v>-24.487507514932254</v>
      </c>
      <c r="D2414" s="5">
        <v>131673.43016792482</v>
      </c>
      <c r="E2414" s="6">
        <v>116.57574417639754</v>
      </c>
    </row>
    <row r="2415" spans="1:5" x14ac:dyDescent="0.3">
      <c r="A2415" s="4">
        <v>2412</v>
      </c>
      <c r="B2415" s="5">
        <v>42394.402718956881</v>
      </c>
      <c r="C2415" s="19">
        <v>-47.345075722569639</v>
      </c>
      <c r="D2415" s="5">
        <v>89201.685835359429</v>
      </c>
      <c r="E2415" s="6">
        <v>110.40911090716328</v>
      </c>
    </row>
    <row r="2416" spans="1:5" x14ac:dyDescent="0.3">
      <c r="A2416" s="4">
        <v>2413</v>
      </c>
      <c r="B2416" s="5">
        <v>82254.278486156894</v>
      </c>
      <c r="C2416" s="19">
        <v>2.161901746680102</v>
      </c>
      <c r="D2416" s="5">
        <v>141422.74178865194</v>
      </c>
      <c r="E2416" s="6">
        <v>71.933599554280804</v>
      </c>
    </row>
    <row r="2417" spans="1:5" x14ac:dyDescent="0.3">
      <c r="A2417" s="4">
        <v>2414</v>
      </c>
      <c r="B2417" s="5">
        <v>75521.043528061768</v>
      </c>
      <c r="C2417" s="19">
        <v>-6.2009469815109046</v>
      </c>
      <c r="D2417" s="5">
        <v>139762.09462319696</v>
      </c>
      <c r="E2417" s="6">
        <v>85.06377572929695</v>
      </c>
    </row>
    <row r="2418" spans="1:5" x14ac:dyDescent="0.3">
      <c r="A2418" s="4">
        <v>2415</v>
      </c>
      <c r="B2418" s="5">
        <v>234397.64473910848</v>
      </c>
      <c r="C2418" s="19">
        <v>191.1278244999759</v>
      </c>
      <c r="D2418" s="5">
        <v>362386.45653625822</v>
      </c>
      <c r="E2418" s="6">
        <v>54.603284064396242</v>
      </c>
    </row>
    <row r="2419" spans="1:5" x14ac:dyDescent="0.3">
      <c r="A2419" s="4">
        <v>2416</v>
      </c>
      <c r="B2419" s="5">
        <v>56117.280372241468</v>
      </c>
      <c r="C2419" s="19">
        <v>-30.300913348298543</v>
      </c>
      <c r="D2419" s="5">
        <v>104403.84230880535</v>
      </c>
      <c r="E2419" s="6">
        <v>86.045798399825756</v>
      </c>
    </row>
    <row r="2420" spans="1:5" x14ac:dyDescent="0.3">
      <c r="A2420" s="4">
        <v>2417</v>
      </c>
      <c r="B2420" s="5">
        <v>56395.169884388582</v>
      </c>
      <c r="C2420" s="19">
        <v>-29.9557675205203</v>
      </c>
      <c r="D2420" s="5">
        <v>109636.27388517864</v>
      </c>
      <c r="E2420" s="6">
        <v>94.407205634694549</v>
      </c>
    </row>
    <row r="2421" spans="1:5" x14ac:dyDescent="0.3">
      <c r="A2421" s="4">
        <v>2418</v>
      </c>
      <c r="B2421" s="5">
        <v>53650.682158728305</v>
      </c>
      <c r="C2421" s="19">
        <v>-33.36449093933993</v>
      </c>
      <c r="D2421" s="5">
        <v>93990.673571444873</v>
      </c>
      <c r="E2421" s="6">
        <v>75.190081075518535</v>
      </c>
    </row>
    <row r="2422" spans="1:5" x14ac:dyDescent="0.3">
      <c r="A2422" s="4">
        <v>2419</v>
      </c>
      <c r="B2422" s="5">
        <v>31913.539142776532</v>
      </c>
      <c r="C2422" s="19">
        <v>-60.362574320776872</v>
      </c>
      <c r="D2422" s="5">
        <v>67182.985167335268</v>
      </c>
      <c r="E2422" s="6">
        <v>110.51562118124339</v>
      </c>
    </row>
    <row r="2423" spans="1:5" x14ac:dyDescent="0.3">
      <c r="A2423" s="4">
        <v>2420</v>
      </c>
      <c r="B2423" s="5">
        <v>30438.539379320748</v>
      </c>
      <c r="C2423" s="19">
        <v>-62.194561467024911</v>
      </c>
      <c r="D2423" s="5">
        <v>57885.664812865412</v>
      </c>
      <c r="E2423" s="6">
        <v>90.172281565493307</v>
      </c>
    </row>
    <row r="2424" spans="1:5" x14ac:dyDescent="0.3">
      <c r="A2424" s="4">
        <v>2421</v>
      </c>
      <c r="B2424" s="5">
        <v>76570.617223390364</v>
      </c>
      <c r="C2424" s="19">
        <v>-4.8973498105004527</v>
      </c>
      <c r="D2424" s="5">
        <v>133327.55962307603</v>
      </c>
      <c r="E2424" s="6">
        <v>74.123657948453726</v>
      </c>
    </row>
    <row r="2425" spans="1:5" x14ac:dyDescent="0.3">
      <c r="A2425" s="4">
        <v>2422</v>
      </c>
      <c r="B2425" s="5">
        <v>120647.39123573592</v>
      </c>
      <c r="C2425" s="19">
        <v>49.847122317082594</v>
      </c>
      <c r="D2425" s="5">
        <v>213095.64467977235</v>
      </c>
      <c r="E2425" s="6">
        <v>76.626815132205792</v>
      </c>
    </row>
    <row r="2426" spans="1:5" x14ac:dyDescent="0.3">
      <c r="A2426" s="4">
        <v>2423</v>
      </c>
      <c r="B2426" s="5">
        <v>73167.375730267537</v>
      </c>
      <c r="C2426" s="19">
        <v>-9.124262129707688</v>
      </c>
      <c r="D2426" s="5">
        <v>152987.86779322484</v>
      </c>
      <c r="E2426" s="6">
        <v>109.09300937239648</v>
      </c>
    </row>
    <row r="2427" spans="1:5" x14ac:dyDescent="0.3">
      <c r="A2427" s="4">
        <v>2424</v>
      </c>
      <c r="B2427" s="5">
        <v>37481.952720690686</v>
      </c>
      <c r="C2427" s="19">
        <v>-53.446463313524092</v>
      </c>
      <c r="D2427" s="5">
        <v>76248.456936797229</v>
      </c>
      <c r="E2427" s="6">
        <v>103.42711999288863</v>
      </c>
    </row>
    <row r="2428" spans="1:5" x14ac:dyDescent="0.3">
      <c r="A2428" s="4">
        <v>2425</v>
      </c>
      <c r="B2428" s="5">
        <v>39855.475874351396</v>
      </c>
      <c r="C2428" s="19">
        <v>-50.49848730935107</v>
      </c>
      <c r="D2428" s="5">
        <v>86677.32724612944</v>
      </c>
      <c r="E2428" s="6">
        <v>117.47909250761145</v>
      </c>
    </row>
    <row r="2429" spans="1:5" x14ac:dyDescent="0.3">
      <c r="A2429" s="4">
        <v>2426</v>
      </c>
      <c r="B2429" s="5">
        <v>107586.20066855353</v>
      </c>
      <c r="C2429" s="19">
        <v>33.6247920994062</v>
      </c>
      <c r="D2429" s="5">
        <v>207878.73073121993</v>
      </c>
      <c r="E2429" s="6">
        <v>93.220626287978021</v>
      </c>
    </row>
    <row r="2430" spans="1:5" x14ac:dyDescent="0.3">
      <c r="A2430" s="4">
        <v>2427</v>
      </c>
      <c r="B2430" s="5">
        <v>31341.235991326932</v>
      </c>
      <c r="C2430" s="19">
        <v>-61.07338936169355</v>
      </c>
      <c r="D2430" s="5">
        <v>65287.222148573775</v>
      </c>
      <c r="E2430" s="6">
        <v>108.31093632248812</v>
      </c>
    </row>
    <row r="2431" spans="1:5" x14ac:dyDescent="0.3">
      <c r="A2431" s="4">
        <v>2428</v>
      </c>
      <c r="B2431" s="5">
        <v>86276.703398038211</v>
      </c>
      <c r="C2431" s="19">
        <v>7.1578555887671982</v>
      </c>
      <c r="D2431" s="5">
        <v>150505.53016533013</v>
      </c>
      <c r="E2431" s="6">
        <v>74.445156383608847</v>
      </c>
    </row>
    <row r="2432" spans="1:5" x14ac:dyDescent="0.3">
      <c r="A2432" s="4">
        <v>2429</v>
      </c>
      <c r="B2432" s="5">
        <v>168892.67568737644</v>
      </c>
      <c r="C2432" s="19">
        <v>109.76899021990101</v>
      </c>
      <c r="D2432" s="5">
        <v>240403.30760307045</v>
      </c>
      <c r="E2432" s="6">
        <v>42.340872169058152</v>
      </c>
    </row>
    <row r="2433" spans="1:5" x14ac:dyDescent="0.3">
      <c r="A2433" s="4">
        <v>2430</v>
      </c>
      <c r="B2433" s="5">
        <v>36782.403380626078</v>
      </c>
      <c r="C2433" s="19">
        <v>-54.315321350600712</v>
      </c>
      <c r="D2433" s="5">
        <v>79922.887174610965</v>
      </c>
      <c r="E2433" s="6">
        <v>117.28565789343641</v>
      </c>
    </row>
    <row r="2434" spans="1:5" x14ac:dyDescent="0.3">
      <c r="A2434" s="4">
        <v>2431</v>
      </c>
      <c r="B2434" s="5">
        <v>41352.043562042141</v>
      </c>
      <c r="C2434" s="19">
        <v>-48.639712253742879</v>
      </c>
      <c r="D2434" s="5">
        <v>83526.543253752432</v>
      </c>
      <c r="E2434" s="6">
        <v>101.98891290205327</v>
      </c>
    </row>
    <row r="2435" spans="1:5" x14ac:dyDescent="0.3">
      <c r="A2435" s="4">
        <v>2432</v>
      </c>
      <c r="B2435" s="5">
        <v>32912.149037731397</v>
      </c>
      <c r="C2435" s="19">
        <v>-59.122275483448782</v>
      </c>
      <c r="D2435" s="5">
        <v>65750.454058984222</v>
      </c>
      <c r="E2435" s="6">
        <v>99.775632954281065</v>
      </c>
    </row>
    <row r="2436" spans="1:5" x14ac:dyDescent="0.3">
      <c r="A2436" s="4">
        <v>2433</v>
      </c>
      <c r="B2436" s="5">
        <v>82703.516866092672</v>
      </c>
      <c r="C2436" s="19">
        <v>2.7198672176137584</v>
      </c>
      <c r="D2436" s="5">
        <v>173402.39166536581</v>
      </c>
      <c r="E2436" s="6">
        <v>109.66749448651132</v>
      </c>
    </row>
    <row r="2437" spans="1:5" x14ac:dyDescent="0.3">
      <c r="A2437" s="4">
        <v>2434</v>
      </c>
      <c r="B2437" s="5">
        <v>55390.281750216804</v>
      </c>
      <c r="C2437" s="19">
        <v>-31.203864090316841</v>
      </c>
      <c r="D2437" s="5">
        <v>108724.64732251366</v>
      </c>
      <c r="E2437" s="6">
        <v>96.288308864014937</v>
      </c>
    </row>
    <row r="2438" spans="1:5" x14ac:dyDescent="0.3">
      <c r="A2438" s="4">
        <v>2435</v>
      </c>
      <c r="B2438" s="5">
        <v>69796.441125895246</v>
      </c>
      <c r="C2438" s="19">
        <v>-13.311048473038436</v>
      </c>
      <c r="D2438" s="5">
        <v>139223.38047520685</v>
      </c>
      <c r="E2438" s="6">
        <v>99.470600834909121</v>
      </c>
    </row>
    <row r="2439" spans="1:5" x14ac:dyDescent="0.3">
      <c r="A2439" s="4">
        <v>2436</v>
      </c>
      <c r="B2439" s="5">
        <v>56484.019731100394</v>
      </c>
      <c r="C2439" s="19">
        <v>-29.845413755621525</v>
      </c>
      <c r="D2439" s="5">
        <v>108985.52012457044</v>
      </c>
      <c r="E2439" s="6">
        <v>92.949299011313897</v>
      </c>
    </row>
    <row r="2440" spans="1:5" x14ac:dyDescent="0.3">
      <c r="A2440" s="4">
        <v>2437</v>
      </c>
      <c r="B2440" s="5">
        <v>67615.369195152714</v>
      </c>
      <c r="C2440" s="19">
        <v>-16.019995173342426</v>
      </c>
      <c r="D2440" s="5">
        <v>149473.60948924604</v>
      </c>
      <c r="E2440" s="6">
        <v>121.0645468160243</v>
      </c>
    </row>
    <row r="2441" spans="1:5" x14ac:dyDescent="0.3">
      <c r="A2441" s="4">
        <v>2438</v>
      </c>
      <c r="B2441" s="5">
        <v>55294.804988917778</v>
      </c>
      <c r="C2441" s="19">
        <v>-31.322448651344438</v>
      </c>
      <c r="D2441" s="5">
        <v>101937.43341706699</v>
      </c>
      <c r="E2441" s="6">
        <v>84.35264115226984</v>
      </c>
    </row>
    <row r="2442" spans="1:5" x14ac:dyDescent="0.3">
      <c r="A2442" s="4">
        <v>2439</v>
      </c>
      <c r="B2442" s="5">
        <v>58617.539461902619</v>
      </c>
      <c r="C2442" s="19">
        <v>-27.195528094664656</v>
      </c>
      <c r="D2442" s="5">
        <v>105538.19830768745</v>
      </c>
      <c r="E2442" s="6">
        <v>80.045425441782726</v>
      </c>
    </row>
    <row r="2443" spans="1:5" x14ac:dyDescent="0.3">
      <c r="A2443" s="4">
        <v>2440</v>
      </c>
      <c r="B2443" s="5">
        <v>65429.253454790873</v>
      </c>
      <c r="C2443" s="19">
        <v>-18.735206413221022</v>
      </c>
      <c r="D2443" s="5">
        <v>126450.35008723923</v>
      </c>
      <c r="E2443" s="6">
        <v>93.262712640625836</v>
      </c>
    </row>
    <row r="2444" spans="1:5" x14ac:dyDescent="0.3">
      <c r="A2444" s="4">
        <v>2441</v>
      </c>
      <c r="B2444" s="5">
        <v>69127.562744914438</v>
      </c>
      <c r="C2444" s="19">
        <v>-14.141812400409584</v>
      </c>
      <c r="D2444" s="5">
        <v>139009.1378064224</v>
      </c>
      <c r="E2444" s="6">
        <v>101.09075495598749</v>
      </c>
    </row>
    <row r="2445" spans="1:5" x14ac:dyDescent="0.3">
      <c r="A2445" s="4">
        <v>2442</v>
      </c>
      <c r="B2445" s="5">
        <v>83723.438481194913</v>
      </c>
      <c r="C2445" s="19">
        <v>3.9866357523219738</v>
      </c>
      <c r="D2445" s="5">
        <v>163515.37790120009</v>
      </c>
      <c r="E2445" s="6">
        <v>95.30418347297956</v>
      </c>
    </row>
    <row r="2446" spans="1:5" x14ac:dyDescent="0.3">
      <c r="A2446" s="4">
        <v>2443</v>
      </c>
      <c r="B2446" s="5">
        <v>74369.785285090897</v>
      </c>
      <c r="C2446" s="19">
        <v>-7.6308389417599969</v>
      </c>
      <c r="D2446" s="5">
        <v>115185.37357236727</v>
      </c>
      <c r="E2446" s="6">
        <v>54.881949881679681</v>
      </c>
    </row>
    <row r="2447" spans="1:5" x14ac:dyDescent="0.3">
      <c r="A2447" s="4">
        <v>2444</v>
      </c>
      <c r="B2447" s="5">
        <v>51910.609797508456</v>
      </c>
      <c r="C2447" s="19">
        <v>-35.52570498036971</v>
      </c>
      <c r="D2447" s="5">
        <v>92639.45953337918</v>
      </c>
      <c r="E2447" s="6">
        <v>78.459586382715884</v>
      </c>
    </row>
    <row r="2448" spans="1:5" x14ac:dyDescent="0.3">
      <c r="A2448" s="4">
        <v>2445</v>
      </c>
      <c r="B2448" s="5">
        <v>95423.262468323053</v>
      </c>
      <c r="C2448" s="19">
        <v>18.518114121895138</v>
      </c>
      <c r="D2448" s="5">
        <v>141048.3904653246</v>
      </c>
      <c r="E2448" s="6">
        <v>47.813422866512639</v>
      </c>
    </row>
    <row r="2449" spans="1:5" x14ac:dyDescent="0.3">
      <c r="A2449" s="4">
        <v>2446</v>
      </c>
      <c r="B2449" s="5">
        <v>54037.487879741173</v>
      </c>
      <c r="C2449" s="19">
        <v>-32.884068415521661</v>
      </c>
      <c r="D2449" s="5">
        <v>95288.842666082972</v>
      </c>
      <c r="E2449" s="6">
        <v>76.338402107339761</v>
      </c>
    </row>
    <row r="2450" spans="1:5" x14ac:dyDescent="0.3">
      <c r="A2450" s="4">
        <v>2447</v>
      </c>
      <c r="B2450" s="5">
        <v>46184.829098025286</v>
      </c>
      <c r="C2450" s="19">
        <v>-42.637269947073328</v>
      </c>
      <c r="D2450" s="5">
        <v>95018.429378565561</v>
      </c>
      <c r="E2450" s="6">
        <v>105.73515423623867</v>
      </c>
    </row>
    <row r="2451" spans="1:5" x14ac:dyDescent="0.3">
      <c r="A2451" s="4">
        <v>2448</v>
      </c>
      <c r="B2451" s="5">
        <v>70610.733917618607</v>
      </c>
      <c r="C2451" s="19">
        <v>-12.299676156459521</v>
      </c>
      <c r="D2451" s="5">
        <v>132619.73092340853</v>
      </c>
      <c r="E2451" s="6">
        <v>87.81808878822261</v>
      </c>
    </row>
    <row r="2452" spans="1:5" x14ac:dyDescent="0.3">
      <c r="A2452" s="4">
        <v>2449</v>
      </c>
      <c r="B2452" s="5">
        <v>72315.063413204654</v>
      </c>
      <c r="C2452" s="19">
        <v>-10.182855661810915</v>
      </c>
      <c r="D2452" s="5">
        <v>141843.93541846078</v>
      </c>
      <c r="E2452" s="6">
        <v>96.14714932623599</v>
      </c>
    </row>
    <row r="2453" spans="1:5" x14ac:dyDescent="0.3">
      <c r="A2453" s="4">
        <v>2450</v>
      </c>
      <c r="B2453" s="5">
        <v>53401.691563430839</v>
      </c>
      <c r="C2453" s="19">
        <v>-33.673743578847407</v>
      </c>
      <c r="D2453" s="5">
        <v>91335.850625559469</v>
      </c>
      <c r="E2453" s="6">
        <v>71.035500845643099</v>
      </c>
    </row>
    <row r="2454" spans="1:5" x14ac:dyDescent="0.3">
      <c r="A2454" s="4">
        <v>2451</v>
      </c>
      <c r="B2454" s="5">
        <v>29452.140867535851</v>
      </c>
      <c r="C2454" s="19">
        <v>-63.419693456493398</v>
      </c>
      <c r="D2454" s="5">
        <v>61140.089155219779</v>
      </c>
      <c r="E2454" s="6">
        <v>107.59132393873796</v>
      </c>
    </row>
    <row r="2455" spans="1:5" x14ac:dyDescent="0.3">
      <c r="A2455" s="4">
        <v>2452</v>
      </c>
      <c r="B2455" s="5">
        <v>51814.839782145573</v>
      </c>
      <c r="C2455" s="19">
        <v>-35.64465377038831</v>
      </c>
      <c r="D2455" s="5">
        <v>107427.62849135937</v>
      </c>
      <c r="E2455" s="6">
        <v>107.3298478641189</v>
      </c>
    </row>
    <row r="2456" spans="1:5" x14ac:dyDescent="0.3">
      <c r="A2456" s="4">
        <v>2453</v>
      </c>
      <c r="B2456" s="5">
        <v>51731.501987747528</v>
      </c>
      <c r="C2456" s="19">
        <v>-35.748161426400522</v>
      </c>
      <c r="D2456" s="5">
        <v>106721.30565702288</v>
      </c>
      <c r="E2456" s="6">
        <v>106.29848652432234</v>
      </c>
    </row>
    <row r="2457" spans="1:5" x14ac:dyDescent="0.3">
      <c r="A2457" s="4">
        <v>2454</v>
      </c>
      <c r="B2457" s="5">
        <v>40496.120359267858</v>
      </c>
      <c r="C2457" s="19">
        <v>-49.702790597555065</v>
      </c>
      <c r="D2457" s="5">
        <v>82550.911091914459</v>
      </c>
      <c r="E2457" s="6">
        <v>103.84893752673281</v>
      </c>
    </row>
    <row r="2458" spans="1:5" x14ac:dyDescent="0.3">
      <c r="A2458" s="4">
        <v>2455</v>
      </c>
      <c r="B2458" s="5">
        <v>37462.690197484233</v>
      </c>
      <c r="C2458" s="19">
        <v>-53.47038785628866</v>
      </c>
      <c r="D2458" s="5">
        <v>83134.601998463186</v>
      </c>
      <c r="E2458" s="6">
        <v>121.91305952727869</v>
      </c>
    </row>
    <row r="2459" spans="1:5" x14ac:dyDescent="0.3">
      <c r="A2459" s="4">
        <v>2456</v>
      </c>
      <c r="B2459" s="5">
        <v>62765.348443481176</v>
      </c>
      <c r="C2459" s="19">
        <v>-22.043844055379804</v>
      </c>
      <c r="D2459" s="5">
        <v>121499.50599307177</v>
      </c>
      <c r="E2459" s="6">
        <v>93.577362360187351</v>
      </c>
    </row>
    <row r="2460" spans="1:5" x14ac:dyDescent="0.3">
      <c r="A2460" s="4">
        <v>2457</v>
      </c>
      <c r="B2460" s="5">
        <v>40581.683377768612</v>
      </c>
      <c r="C2460" s="19">
        <v>-49.596519156724241</v>
      </c>
      <c r="D2460" s="5">
        <v>87317.57784146053</v>
      </c>
      <c r="E2460" s="6">
        <v>115.16499704715231</v>
      </c>
    </row>
    <row r="2461" spans="1:5" x14ac:dyDescent="0.3">
      <c r="A2461" s="4">
        <v>2458</v>
      </c>
      <c r="B2461" s="5">
        <v>41002.247262096927</v>
      </c>
      <c r="C2461" s="19">
        <v>-49.074168137182056</v>
      </c>
      <c r="D2461" s="5">
        <v>83084.883802993674</v>
      </c>
      <c r="E2461" s="6">
        <v>102.6349513769177</v>
      </c>
    </row>
    <row r="2462" spans="1:5" x14ac:dyDescent="0.3">
      <c r="A2462" s="4">
        <v>2459</v>
      </c>
      <c r="B2462" s="5">
        <v>107196.98435837682</v>
      </c>
      <c r="C2462" s="19">
        <v>33.141375562658261</v>
      </c>
      <c r="D2462" s="5">
        <v>182643.28870063252</v>
      </c>
      <c r="E2462" s="6">
        <v>70.380995131380303</v>
      </c>
    </row>
    <row r="2463" spans="1:5" x14ac:dyDescent="0.3">
      <c r="A2463" s="4">
        <v>2460</v>
      </c>
      <c r="B2463" s="5">
        <v>84191.998142202996</v>
      </c>
      <c r="C2463" s="19">
        <v>4.5685987447810428</v>
      </c>
      <c r="D2463" s="5">
        <v>175671.43357472733</v>
      </c>
      <c r="E2463" s="6">
        <v>108.65573623518547</v>
      </c>
    </row>
    <row r="2464" spans="1:5" x14ac:dyDescent="0.3">
      <c r="A2464" s="4">
        <v>2461</v>
      </c>
      <c r="B2464" s="5">
        <v>99901.116701911698</v>
      </c>
      <c r="C2464" s="19">
        <v>24.079722741741318</v>
      </c>
      <c r="D2464" s="5">
        <v>176050.5110977088</v>
      </c>
      <c r="E2464" s="6">
        <v>76.224767960316413</v>
      </c>
    </row>
    <row r="2465" spans="1:5" x14ac:dyDescent="0.3">
      <c r="A2465" s="4">
        <v>2462</v>
      </c>
      <c r="B2465" s="5">
        <v>83252.507976270674</v>
      </c>
      <c r="C2465" s="19">
        <v>3.4017281115397187</v>
      </c>
      <c r="D2465" s="5">
        <v>159363.34474509736</v>
      </c>
      <c r="E2465" s="6">
        <v>91.421674396308191</v>
      </c>
    </row>
    <row r="2466" spans="1:5" x14ac:dyDescent="0.3">
      <c r="A2466" s="4">
        <v>2463</v>
      </c>
      <c r="B2466" s="5">
        <v>48349.4169688568</v>
      </c>
      <c r="C2466" s="19">
        <v>-39.948796867595028</v>
      </c>
      <c r="D2466" s="5">
        <v>89383.457173103016</v>
      </c>
      <c r="E2466" s="6">
        <v>84.869772536610682</v>
      </c>
    </row>
    <row r="2467" spans="1:5" x14ac:dyDescent="0.3">
      <c r="A2467" s="4">
        <v>2464</v>
      </c>
      <c r="B2467" s="5">
        <v>124293.60427131176</v>
      </c>
      <c r="C2467" s="19">
        <v>54.375811459382398</v>
      </c>
      <c r="D2467" s="5">
        <v>244498.17435090482</v>
      </c>
      <c r="E2467" s="6">
        <v>96.710181335804663</v>
      </c>
    </row>
    <row r="2468" spans="1:5" x14ac:dyDescent="0.3">
      <c r="A2468" s="4">
        <v>2465</v>
      </c>
      <c r="B2468" s="5">
        <v>189957.28839126386</v>
      </c>
      <c r="C2468" s="19">
        <v>135.93177388286378</v>
      </c>
      <c r="D2468" s="5">
        <v>278952.15501946938</v>
      </c>
      <c r="E2468" s="6">
        <v>46.849935257497812</v>
      </c>
    </row>
    <row r="2469" spans="1:5" x14ac:dyDescent="0.3">
      <c r="A2469" s="4">
        <v>2466</v>
      </c>
      <c r="B2469" s="5">
        <v>59769.871341528291</v>
      </c>
      <c r="C2469" s="19">
        <v>-25.764302650438097</v>
      </c>
      <c r="D2469" s="5">
        <v>141876.74220042545</v>
      </c>
      <c r="E2469" s="6">
        <v>137.37167073647197</v>
      </c>
    </row>
    <row r="2470" spans="1:5" x14ac:dyDescent="0.3">
      <c r="A2470" s="4">
        <v>2467</v>
      </c>
      <c r="B2470" s="5">
        <v>52714.14247602204</v>
      </c>
      <c r="C2470" s="19">
        <v>-34.527696997522142</v>
      </c>
      <c r="D2470" s="5">
        <v>116434.80579347043</v>
      </c>
      <c r="E2470" s="6">
        <v>120.87963556731071</v>
      </c>
    </row>
    <row r="2471" spans="1:5" x14ac:dyDescent="0.3">
      <c r="A2471" s="4">
        <v>2468</v>
      </c>
      <c r="B2471" s="5">
        <v>127871.95189383267</v>
      </c>
      <c r="C2471" s="19">
        <v>58.820210036034815</v>
      </c>
      <c r="D2471" s="5">
        <v>252624.92065899749</v>
      </c>
      <c r="E2471" s="6">
        <v>97.560854368393919</v>
      </c>
    </row>
    <row r="2472" spans="1:5" x14ac:dyDescent="0.3">
      <c r="A2472" s="4">
        <v>2469</v>
      </c>
      <c r="B2472" s="5">
        <v>74150.240068317988</v>
      </c>
      <c r="C2472" s="19">
        <v>-7.9035196737255964</v>
      </c>
      <c r="D2472" s="5">
        <v>150557.14561049765</v>
      </c>
      <c r="E2472" s="6">
        <v>103.04336907309066</v>
      </c>
    </row>
    <row r="2473" spans="1:5" x14ac:dyDescent="0.3">
      <c r="A2473" s="4">
        <v>2470</v>
      </c>
      <c r="B2473" s="5">
        <v>106189.92896484589</v>
      </c>
      <c r="C2473" s="19">
        <v>31.890587201725939</v>
      </c>
      <c r="D2473" s="5">
        <v>201171.96008932925</v>
      </c>
      <c r="E2473" s="6">
        <v>89.445422979732001</v>
      </c>
    </row>
    <row r="2474" spans="1:5" x14ac:dyDescent="0.3">
      <c r="A2474" s="4">
        <v>2471</v>
      </c>
      <c r="B2474" s="5">
        <v>140204.97774641769</v>
      </c>
      <c r="C2474" s="19">
        <v>74.138141195118578</v>
      </c>
      <c r="D2474" s="5">
        <v>247678.57873591347</v>
      </c>
      <c r="E2474" s="6">
        <v>76.654625760776014</v>
      </c>
    </row>
    <row r="2475" spans="1:5" x14ac:dyDescent="0.3">
      <c r="A2475" s="4">
        <v>2472</v>
      </c>
      <c r="B2475" s="5">
        <v>57384.066940996105</v>
      </c>
      <c r="C2475" s="19">
        <v>-28.727532274961355</v>
      </c>
      <c r="D2475" s="5">
        <v>114753.22653761267</v>
      </c>
      <c r="E2475" s="6">
        <v>99.974021805748166</v>
      </c>
    </row>
    <row r="2476" spans="1:5" x14ac:dyDescent="0.3">
      <c r="A2476" s="4">
        <v>2473</v>
      </c>
      <c r="B2476" s="5">
        <v>23603.104966523435</v>
      </c>
      <c r="C2476" s="19">
        <v>-70.684344512092906</v>
      </c>
      <c r="D2476" s="5">
        <v>54072.20717140536</v>
      </c>
      <c r="E2476" s="6">
        <v>129.08938145255303</v>
      </c>
    </row>
    <row r="2477" spans="1:5" x14ac:dyDescent="0.3">
      <c r="A2477" s="4">
        <v>2474</v>
      </c>
      <c r="B2477" s="5">
        <v>67919.177167707967</v>
      </c>
      <c r="C2477" s="19">
        <v>-15.642657959846948</v>
      </c>
      <c r="D2477" s="5">
        <v>110087.18081092503</v>
      </c>
      <c r="E2477" s="6">
        <v>62.085563167372641</v>
      </c>
    </row>
    <row r="2478" spans="1:5" x14ac:dyDescent="0.3">
      <c r="A2478" s="4">
        <v>2475</v>
      </c>
      <c r="B2478" s="5">
        <v>87906.433005961997</v>
      </c>
      <c r="C2478" s="19">
        <v>9.1820211293644078</v>
      </c>
      <c r="D2478" s="5">
        <v>170420.14267169868</v>
      </c>
      <c r="E2478" s="6">
        <v>93.865382593945569</v>
      </c>
    </row>
    <row r="2479" spans="1:5" x14ac:dyDescent="0.3">
      <c r="A2479" s="4">
        <v>2476</v>
      </c>
      <c r="B2479" s="5">
        <v>83512.41808081542</v>
      </c>
      <c r="C2479" s="19">
        <v>3.7245430587030866</v>
      </c>
      <c r="D2479" s="5">
        <v>156538.30912592678</v>
      </c>
      <c r="E2479" s="6">
        <v>87.443152435657908</v>
      </c>
    </row>
    <row r="2480" spans="1:5" x14ac:dyDescent="0.3">
      <c r="A2480" s="4">
        <v>2477</v>
      </c>
      <c r="B2480" s="5">
        <v>88148.767478401234</v>
      </c>
      <c r="C2480" s="19">
        <v>9.4830066953290721</v>
      </c>
      <c r="D2480" s="5">
        <v>158591.74121522284</v>
      </c>
      <c r="E2480" s="6">
        <v>79.913736461581252</v>
      </c>
    </row>
    <row r="2481" spans="1:5" x14ac:dyDescent="0.3">
      <c r="A2481" s="4">
        <v>2478</v>
      </c>
      <c r="B2481" s="5">
        <v>51183.860765249323</v>
      </c>
      <c r="C2481" s="19">
        <v>-36.428345725563865</v>
      </c>
      <c r="D2481" s="5">
        <v>106104.45954763348</v>
      </c>
      <c r="E2481" s="6">
        <v>107.30061773626862</v>
      </c>
    </row>
    <row r="2482" spans="1:5" x14ac:dyDescent="0.3">
      <c r="A2482" s="4">
        <v>2479</v>
      </c>
      <c r="B2482" s="5">
        <v>47599.731323796768</v>
      </c>
      <c r="C2482" s="19">
        <v>-40.879925468089759</v>
      </c>
      <c r="D2482" s="5">
        <v>100694.62633304803</v>
      </c>
      <c r="E2482" s="6">
        <v>111.54452668666066</v>
      </c>
    </row>
    <row r="2483" spans="1:5" x14ac:dyDescent="0.3">
      <c r="A2483" s="4">
        <v>2480</v>
      </c>
      <c r="B2483" s="5">
        <v>29145.022975349384</v>
      </c>
      <c r="C2483" s="19">
        <v>-63.801141674186802</v>
      </c>
      <c r="D2483" s="5">
        <v>66079.468656496203</v>
      </c>
      <c r="E2483" s="6">
        <v>126.72642499676758</v>
      </c>
    </row>
    <row r="2484" spans="1:5" x14ac:dyDescent="0.3">
      <c r="A2484" s="4">
        <v>2481</v>
      </c>
      <c r="B2484" s="5">
        <v>87595.512538469135</v>
      </c>
      <c r="C2484" s="19">
        <v>8.7958500166193918</v>
      </c>
      <c r="D2484" s="5">
        <v>171232.74063244197</v>
      </c>
      <c r="E2484" s="6">
        <v>95.481178967064153</v>
      </c>
    </row>
    <row r="2485" spans="1:5" x14ac:dyDescent="0.3">
      <c r="A2485" s="4">
        <v>2482</v>
      </c>
      <c r="B2485" s="5">
        <v>42819.483772825486</v>
      </c>
      <c r="C2485" s="19">
        <v>-46.817114263798729</v>
      </c>
      <c r="D2485" s="5">
        <v>73036.184238036192</v>
      </c>
      <c r="E2485" s="6">
        <v>70.567643051285728</v>
      </c>
    </row>
    <row r="2486" spans="1:5" x14ac:dyDescent="0.3">
      <c r="A2486" s="4">
        <v>2483</v>
      </c>
      <c r="B2486" s="5">
        <v>58557.047639741199</v>
      </c>
      <c r="C2486" s="19">
        <v>-27.270660473257855</v>
      </c>
      <c r="D2486" s="5">
        <v>102547.69402226413</v>
      </c>
      <c r="E2486" s="6">
        <v>75.124426786618898</v>
      </c>
    </row>
    <row r="2487" spans="1:5" x14ac:dyDescent="0.3">
      <c r="A2487" s="4">
        <v>2484</v>
      </c>
      <c r="B2487" s="5">
        <v>63276.04247126876</v>
      </c>
      <c r="C2487" s="19">
        <v>-21.409549109880626</v>
      </c>
      <c r="D2487" s="5">
        <v>125857.79901353366</v>
      </c>
      <c r="E2487" s="6">
        <v>98.902766510217347</v>
      </c>
    </row>
    <row r="2488" spans="1:5" x14ac:dyDescent="0.3">
      <c r="A2488" s="4">
        <v>2485</v>
      </c>
      <c r="B2488" s="5">
        <v>126489.90095112343</v>
      </c>
      <c r="C2488" s="19">
        <v>57.103667684481273</v>
      </c>
      <c r="D2488" s="5">
        <v>235998.98468539718</v>
      </c>
      <c r="E2488" s="6">
        <v>86.575357329585401</v>
      </c>
    </row>
    <row r="2489" spans="1:5" x14ac:dyDescent="0.3">
      <c r="A2489" s="4">
        <v>2486</v>
      </c>
      <c r="B2489" s="5">
        <v>60755.779146418157</v>
      </c>
      <c r="C2489" s="19">
        <v>-24.539780131388891</v>
      </c>
      <c r="D2489" s="5">
        <v>113935.46556145725</v>
      </c>
      <c r="E2489" s="6">
        <v>87.530251709683313</v>
      </c>
    </row>
    <row r="2490" spans="1:5" x14ac:dyDescent="0.3">
      <c r="A2490" s="4">
        <v>2487</v>
      </c>
      <c r="B2490" s="5">
        <v>38025.249823823295</v>
      </c>
      <c r="C2490" s="19">
        <v>-52.771674520879941</v>
      </c>
      <c r="D2490" s="5">
        <v>76583.193515693289</v>
      </c>
      <c r="E2490" s="6">
        <v>101.40089511709915</v>
      </c>
    </row>
    <row r="2491" spans="1:5" x14ac:dyDescent="0.3">
      <c r="A2491" s="4">
        <v>2488</v>
      </c>
      <c r="B2491" s="5">
        <v>71938.8810758412</v>
      </c>
      <c r="C2491" s="19">
        <v>-10.650083673482424</v>
      </c>
      <c r="D2491" s="5">
        <v>110012.74973304712</v>
      </c>
      <c r="E2491" s="6">
        <v>52.925300043333642</v>
      </c>
    </row>
    <row r="2492" spans="1:5" x14ac:dyDescent="0.3">
      <c r="A2492" s="4">
        <v>2489</v>
      </c>
      <c r="B2492" s="5">
        <v>36394.208261407119</v>
      </c>
      <c r="C2492" s="19">
        <v>-54.797469542258149</v>
      </c>
      <c r="D2492" s="5">
        <v>61319.405683917692</v>
      </c>
      <c r="E2492" s="6">
        <v>68.486714269153566</v>
      </c>
    </row>
    <row r="2493" spans="1:5" x14ac:dyDescent="0.3">
      <c r="A2493" s="4">
        <v>2490</v>
      </c>
      <c r="B2493" s="5">
        <v>58199.924243181464</v>
      </c>
      <c r="C2493" s="19">
        <v>-27.714216796676546</v>
      </c>
      <c r="D2493" s="5">
        <v>103879.88393831518</v>
      </c>
      <c r="E2493" s="6">
        <v>78.488005421219171</v>
      </c>
    </row>
    <row r="2494" spans="1:5" x14ac:dyDescent="0.3">
      <c r="A2494" s="4">
        <v>2491</v>
      </c>
      <c r="B2494" s="5">
        <v>53702.743788068343</v>
      </c>
      <c r="C2494" s="19">
        <v>-33.29982907421514</v>
      </c>
      <c r="D2494" s="5">
        <v>95437.887281983829</v>
      </c>
      <c r="E2494" s="6">
        <v>77.715104573834054</v>
      </c>
    </row>
    <row r="2495" spans="1:5" x14ac:dyDescent="0.3">
      <c r="A2495" s="4">
        <v>2492</v>
      </c>
      <c r="B2495" s="5">
        <v>69816.332324028044</v>
      </c>
      <c r="C2495" s="19">
        <v>-13.286343100057641</v>
      </c>
      <c r="D2495" s="5">
        <v>135689.84490229894</v>
      </c>
      <c r="E2495" s="6">
        <v>94.352582534043847</v>
      </c>
    </row>
    <row r="2496" spans="1:5" x14ac:dyDescent="0.3">
      <c r="A2496" s="4">
        <v>2493</v>
      </c>
      <c r="B2496" s="5">
        <v>60394.349527118204</v>
      </c>
      <c r="C2496" s="19">
        <v>-24.988684892756122</v>
      </c>
      <c r="D2496" s="5">
        <v>123598.03425436247</v>
      </c>
      <c r="E2496" s="6">
        <v>104.65165238490502</v>
      </c>
    </row>
    <row r="2497" spans="1:5" x14ac:dyDescent="0.3">
      <c r="A2497" s="4">
        <v>2494</v>
      </c>
      <c r="B2497" s="5">
        <v>24948.153882369901</v>
      </c>
      <c r="C2497" s="19">
        <v>-69.013759617128301</v>
      </c>
      <c r="D2497" s="5">
        <v>53519.461752778108</v>
      </c>
      <c r="E2497" s="6">
        <v>114.52273384684659</v>
      </c>
    </row>
    <row r="2498" spans="1:5" x14ac:dyDescent="0.3">
      <c r="A2498" s="4">
        <v>2495</v>
      </c>
      <c r="B2498" s="5">
        <v>87968.717549962676</v>
      </c>
      <c r="C2498" s="19">
        <v>9.2593801139867704</v>
      </c>
      <c r="D2498" s="5">
        <v>174085.46850675394</v>
      </c>
      <c r="E2498" s="6">
        <v>97.894744126377006</v>
      </c>
    </row>
    <row r="2499" spans="1:5" x14ac:dyDescent="0.3">
      <c r="A2499" s="4">
        <v>2496</v>
      </c>
      <c r="B2499" s="5">
        <v>69197.516050546386</v>
      </c>
      <c r="C2499" s="19">
        <v>-14.0549286191844</v>
      </c>
      <c r="D2499" s="5">
        <v>130277.9011154396</v>
      </c>
      <c r="E2499" s="6">
        <v>88.269620863668152</v>
      </c>
    </row>
    <row r="2500" spans="1:5" x14ac:dyDescent="0.3">
      <c r="A2500" s="4">
        <v>2497</v>
      </c>
      <c r="B2500" s="5">
        <v>50475.052619653783</v>
      </c>
      <c r="C2500" s="19">
        <v>-37.308703434126897</v>
      </c>
      <c r="D2500" s="5">
        <v>94326.090035580593</v>
      </c>
      <c r="E2500" s="6">
        <v>86.876655179260297</v>
      </c>
    </row>
    <row r="2501" spans="1:5" x14ac:dyDescent="0.3">
      <c r="A2501" s="4">
        <v>2498</v>
      </c>
      <c r="B2501" s="5">
        <v>65594.648596183979</v>
      </c>
      <c r="C2501" s="19">
        <v>-18.529781449372795</v>
      </c>
      <c r="D2501" s="5">
        <v>127959.02667167257</v>
      </c>
      <c r="E2501" s="6">
        <v>95.075405402989986</v>
      </c>
    </row>
    <row r="2502" spans="1:5" x14ac:dyDescent="0.3">
      <c r="A2502" s="4">
        <v>2499</v>
      </c>
      <c r="B2502" s="5">
        <v>61012.670842985521</v>
      </c>
      <c r="C2502" s="19">
        <v>-24.220714123549921</v>
      </c>
      <c r="D2502" s="5">
        <v>128945.08005784558</v>
      </c>
      <c r="E2502" s="6">
        <v>111.34147755911606</v>
      </c>
    </row>
    <row r="2503" spans="1:5" x14ac:dyDescent="0.3">
      <c r="A2503" s="4">
        <v>2500</v>
      </c>
      <c r="B2503" s="5">
        <v>40340.4135959177</v>
      </c>
      <c r="C2503" s="19">
        <v>-49.896182349953087</v>
      </c>
      <c r="D2503" s="5">
        <v>82161.222111539289</v>
      </c>
      <c r="E2503" s="6">
        <v>103.6697564247425</v>
      </c>
    </row>
    <row r="2504" spans="1:5" x14ac:dyDescent="0.3">
      <c r="A2504" s="4">
        <v>2501</v>
      </c>
      <c r="B2504" s="5">
        <v>61759.752277885367</v>
      </c>
      <c r="C2504" s="19">
        <v>-23.292820018177011</v>
      </c>
      <c r="D2504" s="5">
        <v>115367.54737307977</v>
      </c>
      <c r="E2504" s="6">
        <v>86.800534519614686</v>
      </c>
    </row>
    <row r="2505" spans="1:5" x14ac:dyDescent="0.3">
      <c r="A2505" s="4">
        <v>2502</v>
      </c>
      <c r="B2505" s="5">
        <v>75971.03804823762</v>
      </c>
      <c r="C2505" s="19">
        <v>-5.6420423652059073</v>
      </c>
      <c r="D2505" s="5">
        <v>133054.28647619518</v>
      </c>
      <c r="E2505" s="6">
        <v>75.13817093260289</v>
      </c>
    </row>
    <row r="2506" spans="1:5" x14ac:dyDescent="0.3">
      <c r="A2506" s="4">
        <v>2503</v>
      </c>
      <c r="B2506" s="5">
        <v>49889.987298670829</v>
      </c>
      <c r="C2506" s="19">
        <v>-38.035369413547159</v>
      </c>
      <c r="D2506" s="5">
        <v>92222.814015082709</v>
      </c>
      <c r="E2506" s="6">
        <v>84.852350157923794</v>
      </c>
    </row>
    <row r="2507" spans="1:5" x14ac:dyDescent="0.3">
      <c r="A2507" s="4">
        <v>2504</v>
      </c>
      <c r="B2507" s="5">
        <v>117583.13834423284</v>
      </c>
      <c r="C2507" s="19">
        <v>46.041242445661638</v>
      </c>
      <c r="D2507" s="5">
        <v>187586.97867707405</v>
      </c>
      <c r="E2507" s="6">
        <v>59.535611413857723</v>
      </c>
    </row>
    <row r="2508" spans="1:5" x14ac:dyDescent="0.3">
      <c r="A2508" s="4">
        <v>2505</v>
      </c>
      <c r="B2508" s="5">
        <v>49452.139422293767</v>
      </c>
      <c r="C2508" s="19">
        <v>-38.579187589934833</v>
      </c>
      <c r="D2508" s="5">
        <v>99535.747687490933</v>
      </c>
      <c r="E2508" s="6">
        <v>101.27692926995738</v>
      </c>
    </row>
    <row r="2509" spans="1:5" x14ac:dyDescent="0.3">
      <c r="A2509" s="4">
        <v>2506</v>
      </c>
      <c r="B2509" s="5">
        <v>71417.652172301852</v>
      </c>
      <c r="C2509" s="19">
        <v>-11.297463202072885</v>
      </c>
      <c r="D2509" s="5">
        <v>129653.95491084877</v>
      </c>
      <c r="E2509" s="6">
        <v>81.543289322990233</v>
      </c>
    </row>
    <row r="2510" spans="1:5" x14ac:dyDescent="0.3">
      <c r="A2510" s="4">
        <v>2507</v>
      </c>
      <c r="B2510" s="5">
        <v>87914.449718873293</v>
      </c>
      <c r="C2510" s="19">
        <v>9.1919780902890977</v>
      </c>
      <c r="D2510" s="5">
        <v>180377.41599029602</v>
      </c>
      <c r="E2510" s="6">
        <v>105.17379858156922</v>
      </c>
    </row>
    <row r="2511" spans="1:5" x14ac:dyDescent="0.3">
      <c r="A2511" s="4">
        <v>2508</v>
      </c>
      <c r="B2511" s="5">
        <v>107060.23430543025</v>
      </c>
      <c r="C2511" s="19">
        <v>32.97152852576118</v>
      </c>
      <c r="D2511" s="5">
        <v>194127.89424385148</v>
      </c>
      <c r="E2511" s="6">
        <v>81.325863429391958</v>
      </c>
    </row>
    <row r="2512" spans="1:5" x14ac:dyDescent="0.3">
      <c r="A2512" s="4">
        <v>2509</v>
      </c>
      <c r="B2512" s="5">
        <v>229687.63116584157</v>
      </c>
      <c r="C2512" s="19">
        <v>185.27786808733038</v>
      </c>
      <c r="D2512" s="5">
        <v>304386.82817530108</v>
      </c>
      <c r="E2512" s="6">
        <v>32.522080806138135</v>
      </c>
    </row>
    <row r="2513" spans="1:5" x14ac:dyDescent="0.3">
      <c r="A2513" s="4">
        <v>2510</v>
      </c>
      <c r="B2513" s="5">
        <v>59958.882628776075</v>
      </c>
      <c r="C2513" s="19">
        <v>-25.529545833987854</v>
      </c>
      <c r="D2513" s="5">
        <v>114157.27733652675</v>
      </c>
      <c r="E2513" s="6">
        <v>90.392602949774172</v>
      </c>
    </row>
    <row r="2514" spans="1:5" x14ac:dyDescent="0.3">
      <c r="A2514" s="4">
        <v>2511</v>
      </c>
      <c r="B2514" s="5">
        <v>161543.60137157171</v>
      </c>
      <c r="C2514" s="19">
        <v>100.64125337753542</v>
      </c>
      <c r="D2514" s="5">
        <v>303202.36569501279</v>
      </c>
      <c r="E2514" s="6">
        <v>87.690730626716146</v>
      </c>
    </row>
    <row r="2515" spans="1:5" x14ac:dyDescent="0.3">
      <c r="A2515" s="4">
        <v>2512</v>
      </c>
      <c r="B2515" s="5">
        <v>95766.109421395406</v>
      </c>
      <c r="C2515" s="19">
        <v>18.943938740122395</v>
      </c>
      <c r="D2515" s="5">
        <v>158942.4073094682</v>
      </c>
      <c r="E2515" s="6">
        <v>65.969368777508649</v>
      </c>
    </row>
    <row r="2516" spans="1:5" x14ac:dyDescent="0.3">
      <c r="A2516" s="4">
        <v>2513</v>
      </c>
      <c r="B2516" s="5">
        <v>41294.255463036585</v>
      </c>
      <c r="C2516" s="19">
        <v>-48.711486539547678</v>
      </c>
      <c r="D2516" s="5">
        <v>73611.835104350874</v>
      </c>
      <c r="E2516" s="6">
        <v>78.261683807914835</v>
      </c>
    </row>
    <row r="2517" spans="1:5" x14ac:dyDescent="0.3">
      <c r="A2517" s="4">
        <v>2514</v>
      </c>
      <c r="B2517" s="5">
        <v>49518.126708622942</v>
      </c>
      <c r="C2517" s="19">
        <v>-38.497229705353483</v>
      </c>
      <c r="D2517" s="5">
        <v>78761.928067680783</v>
      </c>
      <c r="E2517" s="6">
        <v>59.056760226685654</v>
      </c>
    </row>
    <row r="2518" spans="1:5" x14ac:dyDescent="0.3">
      <c r="A2518" s="4">
        <v>2515</v>
      </c>
      <c r="B2518" s="5">
        <v>184797.76438480758</v>
      </c>
      <c r="C2518" s="19">
        <v>129.5235141022381</v>
      </c>
      <c r="D2518" s="5">
        <v>317782.17863492336</v>
      </c>
      <c r="E2518" s="6">
        <v>71.962133683175963</v>
      </c>
    </row>
    <row r="2519" spans="1:5" x14ac:dyDescent="0.3">
      <c r="A2519" s="4">
        <v>2516</v>
      </c>
      <c r="B2519" s="5">
        <v>67077.94351541689</v>
      </c>
      <c r="C2519" s="19">
        <v>-16.687491509092965</v>
      </c>
      <c r="D2519" s="5">
        <v>117328.42278837478</v>
      </c>
      <c r="E2519" s="6">
        <v>74.913565681107315</v>
      </c>
    </row>
    <row r="2520" spans="1:5" x14ac:dyDescent="0.3">
      <c r="A2520" s="4">
        <v>2517</v>
      </c>
      <c r="B2520" s="5">
        <v>75646.67457715307</v>
      </c>
      <c r="C2520" s="19">
        <v>-6.0449100296366263</v>
      </c>
      <c r="D2520" s="5">
        <v>135278.65215081457</v>
      </c>
      <c r="E2520" s="6">
        <v>78.829608713125964</v>
      </c>
    </row>
    <row r="2521" spans="1:5" x14ac:dyDescent="0.3">
      <c r="A2521" s="4">
        <v>2518</v>
      </c>
      <c r="B2521" s="5">
        <v>93769.251507975117</v>
      </c>
      <c r="C2521" s="19">
        <v>16.463790525251635</v>
      </c>
      <c r="D2521" s="5">
        <v>166174.99055242466</v>
      </c>
      <c r="E2521" s="6">
        <v>77.216931862030918</v>
      </c>
    </row>
    <row r="2522" spans="1:5" x14ac:dyDescent="0.3">
      <c r="A2522" s="4">
        <v>2519</v>
      </c>
      <c r="B2522" s="5">
        <v>39293.79841362928</v>
      </c>
      <c r="C2522" s="19">
        <v>-51.196104972671463</v>
      </c>
      <c r="D2522" s="5">
        <v>74385.071447476425</v>
      </c>
      <c r="E2522" s="6">
        <v>89.304863491322678</v>
      </c>
    </row>
    <row r="2523" spans="1:5" x14ac:dyDescent="0.3">
      <c r="A2523" s="4">
        <v>2520</v>
      </c>
      <c r="B2523" s="5">
        <v>68480.176546416769</v>
      </c>
      <c r="C2523" s="19">
        <v>-14.945882491598899</v>
      </c>
      <c r="D2523" s="5">
        <v>136488.79013256228</v>
      </c>
      <c r="E2523" s="6">
        <v>99.311387639382573</v>
      </c>
    </row>
    <row r="2524" spans="1:5" x14ac:dyDescent="0.3">
      <c r="A2524" s="4">
        <v>2521</v>
      </c>
      <c r="B2524" s="5">
        <v>62456.419523638055</v>
      </c>
      <c r="C2524" s="19">
        <v>-22.427541615392233</v>
      </c>
      <c r="D2524" s="5">
        <v>106568.92086488435</v>
      </c>
      <c r="E2524" s="6">
        <v>70.629251048486566</v>
      </c>
    </row>
    <row r="2525" spans="1:5" x14ac:dyDescent="0.3">
      <c r="A2525" s="4">
        <v>2522</v>
      </c>
      <c r="B2525" s="5">
        <v>48964.401754034952</v>
      </c>
      <c r="C2525" s="19">
        <v>-39.184970154196193</v>
      </c>
      <c r="D2525" s="5">
        <v>96413.202408769881</v>
      </c>
      <c r="E2525" s="6">
        <v>96.904687803777506</v>
      </c>
    </row>
    <row r="2526" spans="1:5" x14ac:dyDescent="0.3">
      <c r="A2526" s="4">
        <v>2523</v>
      </c>
      <c r="B2526" s="5">
        <v>61627.635358952903</v>
      </c>
      <c r="C2526" s="19">
        <v>-23.456912585025361</v>
      </c>
      <c r="D2526" s="5">
        <v>108294.28978286755</v>
      </c>
      <c r="E2526" s="6">
        <v>75.723584317494314</v>
      </c>
    </row>
    <row r="2527" spans="1:5" x14ac:dyDescent="0.3">
      <c r="A2527" s="4">
        <v>2524</v>
      </c>
      <c r="B2527" s="5">
        <v>91989.430024656336</v>
      </c>
      <c r="C2527" s="19">
        <v>14.253207065619868</v>
      </c>
      <c r="D2527" s="5">
        <v>172688.88699472329</v>
      </c>
      <c r="E2527" s="6">
        <v>87.726880086588992</v>
      </c>
    </row>
    <row r="2528" spans="1:5" x14ac:dyDescent="0.3">
      <c r="A2528" s="4">
        <v>2525</v>
      </c>
      <c r="B2528" s="5">
        <v>46676.329162922528</v>
      </c>
      <c r="C2528" s="19">
        <v>-42.026814390685843</v>
      </c>
      <c r="D2528" s="5">
        <v>85120.520412811486</v>
      </c>
      <c r="E2528" s="6">
        <v>82.363356200742558</v>
      </c>
    </row>
    <row r="2529" spans="1:5" x14ac:dyDescent="0.3">
      <c r="A2529" s="4">
        <v>2526</v>
      </c>
      <c r="B2529" s="5">
        <v>61177.177514666029</v>
      </c>
      <c r="C2529" s="19">
        <v>-24.016392661636839</v>
      </c>
      <c r="D2529" s="5">
        <v>119376.99037845855</v>
      </c>
      <c r="E2529" s="6">
        <v>95.133210174399196</v>
      </c>
    </row>
    <row r="2530" spans="1:5" x14ac:dyDescent="0.3">
      <c r="A2530" s="4">
        <v>2527</v>
      </c>
      <c r="B2530" s="5">
        <v>92097.515312806136</v>
      </c>
      <c r="C2530" s="19">
        <v>14.387451737039358</v>
      </c>
      <c r="D2530" s="5">
        <v>158076.18145295177</v>
      </c>
      <c r="E2530" s="6">
        <v>71.640006699476416</v>
      </c>
    </row>
    <row r="2531" spans="1:5" x14ac:dyDescent="0.3">
      <c r="A2531" s="4">
        <v>2528</v>
      </c>
      <c r="B2531" s="5">
        <v>60695.18383401414</v>
      </c>
      <c r="C2531" s="19">
        <v>-24.615041047490301</v>
      </c>
      <c r="D2531" s="5">
        <v>101265.19974867429</v>
      </c>
      <c r="E2531" s="6">
        <v>66.842232532994387</v>
      </c>
    </row>
    <row r="2532" spans="1:5" x14ac:dyDescent="0.3">
      <c r="A2532" s="4">
        <v>2529</v>
      </c>
      <c r="B2532" s="5">
        <v>124641.83368451058</v>
      </c>
      <c r="C2532" s="19">
        <v>54.808321229710131</v>
      </c>
      <c r="D2532" s="5">
        <v>263670.50248434371</v>
      </c>
      <c r="E2532" s="6">
        <v>111.54254128813447</v>
      </c>
    </row>
    <row r="2533" spans="1:5" x14ac:dyDescent="0.3">
      <c r="A2533" s="4">
        <v>2530</v>
      </c>
      <c r="B2533" s="5">
        <v>97773.548132257129</v>
      </c>
      <c r="C2533" s="19">
        <v>21.437228573988634</v>
      </c>
      <c r="D2533" s="5">
        <v>170284.87412610446</v>
      </c>
      <c r="E2533" s="6">
        <v>74.162518778353132</v>
      </c>
    </row>
    <row r="2534" spans="1:5" x14ac:dyDescent="0.3">
      <c r="A2534" s="4">
        <v>2531</v>
      </c>
      <c r="B2534" s="5">
        <v>50148.449126299849</v>
      </c>
      <c r="C2534" s="19">
        <v>-37.714353263074848</v>
      </c>
      <c r="D2534" s="5">
        <v>90256.963472021394</v>
      </c>
      <c r="E2534" s="6">
        <v>79.979570743468997</v>
      </c>
    </row>
    <row r="2535" spans="1:5" x14ac:dyDescent="0.3">
      <c r="A2535" s="4">
        <v>2532</v>
      </c>
      <c r="B2535" s="5">
        <v>72729.427143312671</v>
      </c>
      <c r="C2535" s="19">
        <v>-9.6682053911893409</v>
      </c>
      <c r="D2535" s="5">
        <v>126525.76197969995</v>
      </c>
      <c r="E2535" s="6">
        <v>73.967769236490881</v>
      </c>
    </row>
    <row r="2536" spans="1:5" x14ac:dyDescent="0.3">
      <c r="A2536" s="4">
        <v>2533</v>
      </c>
      <c r="B2536" s="5">
        <v>67618.831837940292</v>
      </c>
      <c r="C2536" s="19">
        <v>-16.015694483107719</v>
      </c>
      <c r="D2536" s="5">
        <v>118753.21111801216</v>
      </c>
      <c r="E2536" s="6">
        <v>75.621506450486848</v>
      </c>
    </row>
    <row r="2537" spans="1:5" x14ac:dyDescent="0.3">
      <c r="A2537" s="4">
        <v>2534</v>
      </c>
      <c r="B2537" s="5">
        <v>45656.656612743362</v>
      </c>
      <c r="C2537" s="19">
        <v>-43.293273580437557</v>
      </c>
      <c r="D2537" s="5">
        <v>84740.665829995822</v>
      </c>
      <c r="E2537" s="6">
        <v>85.604185932317279</v>
      </c>
    </row>
    <row r="2538" spans="1:5" x14ac:dyDescent="0.3">
      <c r="A2538" s="4">
        <v>2535</v>
      </c>
      <c r="B2538" s="5">
        <v>60658.851757273522</v>
      </c>
      <c r="C2538" s="19">
        <v>-24.660166409022136</v>
      </c>
      <c r="D2538" s="5">
        <v>116772.00485836511</v>
      </c>
      <c r="E2538" s="6">
        <v>92.506124787242001</v>
      </c>
    </row>
    <row r="2539" spans="1:5" x14ac:dyDescent="0.3">
      <c r="A2539" s="4">
        <v>2536</v>
      </c>
      <c r="B2539" s="5">
        <v>92659.053072910683</v>
      </c>
      <c r="C2539" s="19">
        <v>15.084895888646699</v>
      </c>
      <c r="D2539" s="5">
        <v>184589.35514153985</v>
      </c>
      <c r="E2539" s="6">
        <v>99.213513434345074</v>
      </c>
    </row>
    <row r="2540" spans="1:5" x14ac:dyDescent="0.3">
      <c r="A2540" s="4">
        <v>2537</v>
      </c>
      <c r="B2540" s="5">
        <v>55204.272093429303</v>
      </c>
      <c r="C2540" s="19">
        <v>-31.434892805544791</v>
      </c>
      <c r="D2540" s="5">
        <v>103170.36973738452</v>
      </c>
      <c r="E2540" s="6">
        <v>86.888379875340107</v>
      </c>
    </row>
    <row r="2541" spans="1:5" x14ac:dyDescent="0.3">
      <c r="A2541" s="4">
        <v>2538</v>
      </c>
      <c r="B2541" s="5">
        <v>64575.708198145578</v>
      </c>
      <c r="C2541" s="19">
        <v>-19.795331287581412</v>
      </c>
      <c r="D2541" s="5">
        <v>139573.13464340279</v>
      </c>
      <c r="E2541" s="6">
        <v>116.13875950865827</v>
      </c>
    </row>
    <row r="2542" spans="1:5" x14ac:dyDescent="0.3">
      <c r="A2542" s="4">
        <v>2539</v>
      </c>
      <c r="B2542" s="5">
        <v>101707.68455524647</v>
      </c>
      <c r="C2542" s="19">
        <v>26.323525871838179</v>
      </c>
      <c r="D2542" s="5">
        <v>191090.49499935773</v>
      </c>
      <c r="E2542" s="6">
        <v>87.882062043757898</v>
      </c>
    </row>
    <row r="2543" spans="1:5" x14ac:dyDescent="0.3">
      <c r="A2543" s="4">
        <v>2540</v>
      </c>
      <c r="B2543" s="5">
        <v>44090.133661424094</v>
      </c>
      <c r="C2543" s="19">
        <v>-45.238934849152386</v>
      </c>
      <c r="D2543" s="5">
        <v>90445.599278857233</v>
      </c>
      <c r="E2543" s="6">
        <v>105.13795665353372</v>
      </c>
    </row>
    <row r="2544" spans="1:5" x14ac:dyDescent="0.3">
      <c r="A2544" s="4">
        <v>2541</v>
      </c>
      <c r="B2544" s="5">
        <v>76211.056381405229</v>
      </c>
      <c r="C2544" s="19">
        <v>-5.3439335030073538</v>
      </c>
      <c r="D2544" s="5">
        <v>137435.94895903391</v>
      </c>
      <c r="E2544" s="6">
        <v>80.335971556703115</v>
      </c>
    </row>
    <row r="2545" spans="1:5" x14ac:dyDescent="0.3">
      <c r="A2545" s="4">
        <v>2542</v>
      </c>
      <c r="B2545" s="5">
        <v>103174.67515420169</v>
      </c>
      <c r="C2545" s="19">
        <v>28.145565432479259</v>
      </c>
      <c r="D2545" s="5">
        <v>162512.3937719652</v>
      </c>
      <c r="E2545" s="6">
        <v>57.51190253720614</v>
      </c>
    </row>
    <row r="2546" spans="1:5" x14ac:dyDescent="0.3">
      <c r="A2546" s="4">
        <v>2543</v>
      </c>
      <c r="B2546" s="5">
        <v>82035.002968277186</v>
      </c>
      <c r="C2546" s="19">
        <v>1.8895559875856456</v>
      </c>
      <c r="D2546" s="5">
        <v>139992.22468468963</v>
      </c>
      <c r="E2546" s="6">
        <v>70.649380897596131</v>
      </c>
    </row>
    <row r="2547" spans="1:5" x14ac:dyDescent="0.3">
      <c r="A2547" s="4">
        <v>2544</v>
      </c>
      <c r="B2547" s="5">
        <v>87275.535402191817</v>
      </c>
      <c r="C2547" s="19">
        <v>8.3984302913579398</v>
      </c>
      <c r="D2547" s="5">
        <v>171012.6746195794</v>
      </c>
      <c r="E2547" s="6">
        <v>95.945718157444418</v>
      </c>
    </row>
    <row r="2548" spans="1:5" x14ac:dyDescent="0.3">
      <c r="A2548" s="4">
        <v>2545</v>
      </c>
      <c r="B2548" s="5">
        <v>71679.49015353783</v>
      </c>
      <c r="C2548" s="19">
        <v>-10.972253783123561</v>
      </c>
      <c r="D2548" s="5">
        <v>131156.16762038268</v>
      </c>
      <c r="E2548" s="6">
        <v>82.975865675726084</v>
      </c>
    </row>
    <row r="2549" spans="1:5" x14ac:dyDescent="0.3">
      <c r="A2549" s="4">
        <v>2546</v>
      </c>
      <c r="B2549" s="5">
        <v>61718.857459721359</v>
      </c>
      <c r="C2549" s="19">
        <v>-23.343612420373123</v>
      </c>
      <c r="D2549" s="5">
        <v>123528.20134616368</v>
      </c>
      <c r="E2549" s="6">
        <v>100.14661066397741</v>
      </c>
    </row>
    <row r="2550" spans="1:5" x14ac:dyDescent="0.3">
      <c r="A2550" s="4">
        <v>2547</v>
      </c>
      <c r="B2550" s="5">
        <v>66099.97051635744</v>
      </c>
      <c r="C2550" s="19">
        <v>-17.902158797890987</v>
      </c>
      <c r="D2550" s="5">
        <v>124901.91246497542</v>
      </c>
      <c r="E2550" s="6">
        <v>88.959104655071741</v>
      </c>
    </row>
    <row r="2551" spans="1:5" x14ac:dyDescent="0.3">
      <c r="A2551" s="4">
        <v>2548</v>
      </c>
      <c r="B2551" s="5">
        <v>71779.718859710294</v>
      </c>
      <c r="C2551" s="19">
        <v>-10.847767185944162</v>
      </c>
      <c r="D2551" s="5">
        <v>132938.50741477817</v>
      </c>
      <c r="E2551" s="6">
        <v>85.203438417750746</v>
      </c>
    </row>
    <row r="2552" spans="1:5" x14ac:dyDescent="0.3">
      <c r="A2552" s="4">
        <v>2549</v>
      </c>
      <c r="B2552" s="5">
        <v>73646.364302265603</v>
      </c>
      <c r="C2552" s="19">
        <v>-8.5293461650811828</v>
      </c>
      <c r="D2552" s="5">
        <v>127126.73624056748</v>
      </c>
      <c r="E2552" s="6">
        <v>72.617803261547621</v>
      </c>
    </row>
    <row r="2553" spans="1:5" x14ac:dyDescent="0.3">
      <c r="A2553" s="4">
        <v>2550</v>
      </c>
      <c r="B2553" s="5">
        <v>55785.640951325578</v>
      </c>
      <c r="C2553" s="19">
        <v>-30.712817927105796</v>
      </c>
      <c r="D2553" s="5">
        <v>105385.49096578785</v>
      </c>
      <c r="E2553" s="6">
        <v>88.911499749083148</v>
      </c>
    </row>
    <row r="2554" spans="1:5" x14ac:dyDescent="0.3">
      <c r="A2554" s="4">
        <v>2551</v>
      </c>
      <c r="B2554" s="5">
        <v>151044.16478651552</v>
      </c>
      <c r="C2554" s="19">
        <v>87.600686630864232</v>
      </c>
      <c r="D2554" s="5">
        <v>257602.30787005764</v>
      </c>
      <c r="E2554" s="6">
        <v>70.547672751311154</v>
      </c>
    </row>
    <row r="2555" spans="1:5" x14ac:dyDescent="0.3">
      <c r="A2555" s="4">
        <v>2552</v>
      </c>
      <c r="B2555" s="5">
        <v>65416.083464023141</v>
      </c>
      <c r="C2555" s="19">
        <v>-18.751563876049467</v>
      </c>
      <c r="D2555" s="5">
        <v>113462.63115939745</v>
      </c>
      <c r="E2555" s="6">
        <v>73.447606691095245</v>
      </c>
    </row>
    <row r="2556" spans="1:5" x14ac:dyDescent="0.3">
      <c r="A2556" s="4">
        <v>2553</v>
      </c>
      <c r="B2556" s="5">
        <v>120463.8919665029</v>
      </c>
      <c r="C2556" s="19">
        <v>49.619211566918672</v>
      </c>
      <c r="D2556" s="5">
        <v>170075.31457113122</v>
      </c>
      <c r="E2556" s="6">
        <v>41.183645816809289</v>
      </c>
    </row>
    <row r="2557" spans="1:5" x14ac:dyDescent="0.3">
      <c r="A2557" s="4">
        <v>2554</v>
      </c>
      <c r="B2557" s="5">
        <v>100493.85885979324</v>
      </c>
      <c r="C2557" s="19">
        <v>24.815923547451391</v>
      </c>
      <c r="D2557" s="5">
        <v>156757.00784089317</v>
      </c>
      <c r="E2557" s="6">
        <v>55.986653930363047</v>
      </c>
    </row>
    <row r="2558" spans="1:5" x14ac:dyDescent="0.3">
      <c r="A2558" s="4">
        <v>2555</v>
      </c>
      <c r="B2558" s="5">
        <v>34177.050721003659</v>
      </c>
      <c r="C2558" s="19">
        <v>-57.551235485724902</v>
      </c>
      <c r="D2558" s="5">
        <v>79218.882519577164</v>
      </c>
      <c r="E2558" s="6">
        <v>131.78969761393967</v>
      </c>
    </row>
    <row r="2559" spans="1:5" x14ac:dyDescent="0.3">
      <c r="A2559" s="4">
        <v>2556</v>
      </c>
      <c r="B2559" s="5">
        <v>57111.320023504901</v>
      </c>
      <c r="C2559" s="19">
        <v>-29.066290869642064</v>
      </c>
      <c r="D2559" s="5">
        <v>104081.5227917789</v>
      </c>
      <c r="E2559" s="6">
        <v>82.243244857486758</v>
      </c>
    </row>
    <row r="2560" spans="1:5" x14ac:dyDescent="0.3">
      <c r="A2560" s="4">
        <v>2557</v>
      </c>
      <c r="B2560" s="5">
        <v>45351.082056591338</v>
      </c>
      <c r="C2560" s="19">
        <v>-43.672804935601562</v>
      </c>
      <c r="D2560" s="5">
        <v>94881.688143398511</v>
      </c>
      <c r="E2560" s="6">
        <v>109.2159301182724</v>
      </c>
    </row>
    <row r="2561" spans="1:5" x14ac:dyDescent="0.3">
      <c r="A2561" s="4">
        <v>2558</v>
      </c>
      <c r="B2561" s="5">
        <v>45445.143195465374</v>
      </c>
      <c r="C2561" s="19">
        <v>-43.555978613558658</v>
      </c>
      <c r="D2561" s="5">
        <v>83012.16457509328</v>
      </c>
      <c r="E2561" s="6">
        <v>82.664546171737967</v>
      </c>
    </row>
    <row r="2562" spans="1:5" x14ac:dyDescent="0.3">
      <c r="A2562" s="4">
        <v>2559</v>
      </c>
      <c r="B2562" s="5">
        <v>124614.00442830138</v>
      </c>
      <c r="C2562" s="19">
        <v>54.773756587106107</v>
      </c>
      <c r="D2562" s="5">
        <v>242189.46298590174</v>
      </c>
      <c r="E2562" s="6">
        <v>94.351721619899664</v>
      </c>
    </row>
    <row r="2563" spans="1:5" x14ac:dyDescent="0.3">
      <c r="A2563" s="4">
        <v>2560</v>
      </c>
      <c r="B2563" s="5">
        <v>71969.657037243756</v>
      </c>
      <c r="C2563" s="19">
        <v>-10.611859148231781</v>
      </c>
      <c r="D2563" s="5">
        <v>151779.41346456422</v>
      </c>
      <c r="E2563" s="6">
        <v>110.89361782844055</v>
      </c>
    </row>
    <row r="2564" spans="1:5" x14ac:dyDescent="0.3">
      <c r="A2564" s="4">
        <v>2561</v>
      </c>
      <c r="B2564" s="5">
        <v>81935.211113578087</v>
      </c>
      <c r="C2564" s="19">
        <v>1.7656119710248042</v>
      </c>
      <c r="D2564" s="5">
        <v>169429.11657615378</v>
      </c>
      <c r="E2564" s="6">
        <v>106.7842558448921</v>
      </c>
    </row>
    <row r="2565" spans="1:5" x14ac:dyDescent="0.3">
      <c r="A2565" s="4">
        <v>2562</v>
      </c>
      <c r="B2565" s="5">
        <v>48561.767069171721</v>
      </c>
      <c r="C2565" s="19">
        <v>-39.68505265290446</v>
      </c>
      <c r="D2565" s="5">
        <v>84528.214488941143</v>
      </c>
      <c r="E2565" s="6">
        <v>74.063300391311046</v>
      </c>
    </row>
    <row r="2566" spans="1:5" x14ac:dyDescent="0.3">
      <c r="A2566" s="4">
        <v>2563</v>
      </c>
      <c r="B2566" s="5">
        <v>109089.26960390148</v>
      </c>
      <c r="C2566" s="19">
        <v>35.491641869626328</v>
      </c>
      <c r="D2566" s="5">
        <v>214730.43481282619</v>
      </c>
      <c r="E2566" s="6">
        <v>96.839190135293137</v>
      </c>
    </row>
    <row r="2567" spans="1:5" x14ac:dyDescent="0.3">
      <c r="A2567" s="4">
        <v>2564</v>
      </c>
      <c r="B2567" s="5">
        <v>53780.345972879215</v>
      </c>
      <c r="C2567" s="19">
        <v>-33.203445190897625</v>
      </c>
      <c r="D2567" s="5">
        <v>98138.146198526592</v>
      </c>
      <c r="E2567" s="6">
        <v>82.479573946988893</v>
      </c>
    </row>
    <row r="2568" spans="1:5" x14ac:dyDescent="0.3">
      <c r="A2568" s="4">
        <v>2565</v>
      </c>
      <c r="B2568" s="5">
        <v>37232.108556234467</v>
      </c>
      <c r="C2568" s="19">
        <v>-53.756776107592955</v>
      </c>
      <c r="D2568" s="5">
        <v>76903.075698222601</v>
      </c>
      <c r="E2568" s="6">
        <v>106.55041758397883</v>
      </c>
    </row>
    <row r="2569" spans="1:5" x14ac:dyDescent="0.3">
      <c r="A2569" s="4">
        <v>2566</v>
      </c>
      <c r="B2569" s="5">
        <v>144396.26210556825</v>
      </c>
      <c r="C2569" s="19">
        <v>79.343822756886823</v>
      </c>
      <c r="D2569" s="5">
        <v>261894.59738907588</v>
      </c>
      <c r="E2569" s="6">
        <v>81.372144659537284</v>
      </c>
    </row>
    <row r="2570" spans="1:5" x14ac:dyDescent="0.3">
      <c r="A2570" s="4">
        <v>2567</v>
      </c>
      <c r="B2570" s="5">
        <v>62918.443389132983</v>
      </c>
      <c r="C2570" s="19">
        <v>-21.853696246859116</v>
      </c>
      <c r="D2570" s="5">
        <v>122030.53734048329</v>
      </c>
      <c r="E2570" s="6">
        <v>93.950343917058689</v>
      </c>
    </row>
    <row r="2571" spans="1:5" x14ac:dyDescent="0.3">
      <c r="A2571" s="4">
        <v>2568</v>
      </c>
      <c r="B2571" s="5">
        <v>53894.505308425469</v>
      </c>
      <c r="C2571" s="19">
        <v>-33.061656398433712</v>
      </c>
      <c r="D2571" s="5">
        <v>98667.723322411519</v>
      </c>
      <c r="E2571" s="6">
        <v>83.075663757853505</v>
      </c>
    </row>
    <row r="2572" spans="1:5" x14ac:dyDescent="0.3">
      <c r="A2572" s="4">
        <v>2569</v>
      </c>
      <c r="B2572" s="5">
        <v>141446.81802061581</v>
      </c>
      <c r="C2572" s="19">
        <v>75.680538337402808</v>
      </c>
      <c r="D2572" s="5">
        <v>220628.98902965066</v>
      </c>
      <c r="E2572" s="6">
        <v>55.980171287765614</v>
      </c>
    </row>
    <row r="2573" spans="1:5" x14ac:dyDescent="0.3">
      <c r="A2573" s="4">
        <v>2570</v>
      </c>
      <c r="B2573" s="5">
        <v>101433.12230304412</v>
      </c>
      <c r="C2573" s="19">
        <v>25.982512585367441</v>
      </c>
      <c r="D2573" s="5">
        <v>208942.78487036156</v>
      </c>
      <c r="E2573" s="6">
        <v>105.99068640135015</v>
      </c>
    </row>
    <row r="2574" spans="1:5" x14ac:dyDescent="0.3">
      <c r="A2574" s="4">
        <v>2571</v>
      </c>
      <c r="B2574" s="5">
        <v>53974.417172258298</v>
      </c>
      <c r="C2574" s="19">
        <v>-32.962403835144158</v>
      </c>
      <c r="D2574" s="5">
        <v>100496.13367908837</v>
      </c>
      <c r="E2574" s="6">
        <v>86.192160923863099</v>
      </c>
    </row>
    <row r="2575" spans="1:5" x14ac:dyDescent="0.3">
      <c r="A2575" s="4">
        <v>2572</v>
      </c>
      <c r="B2575" s="5">
        <v>118089.56292408834</v>
      </c>
      <c r="C2575" s="19">
        <v>46.670234628457443</v>
      </c>
      <c r="D2575" s="5">
        <v>205918.16615032961</v>
      </c>
      <c r="E2575" s="6">
        <v>74.374568803087399</v>
      </c>
    </row>
    <row r="2576" spans="1:5" x14ac:dyDescent="0.3">
      <c r="A2576" s="4">
        <v>2573</v>
      </c>
      <c r="B2576" s="5">
        <v>49922.699372813091</v>
      </c>
      <c r="C2576" s="19">
        <v>-37.994740187129295</v>
      </c>
      <c r="D2576" s="5">
        <v>96526.088688263611</v>
      </c>
      <c r="E2576" s="6">
        <v>93.351100603405669</v>
      </c>
    </row>
    <row r="2577" spans="1:5" x14ac:dyDescent="0.3">
      <c r="A2577" s="4">
        <v>2574</v>
      </c>
      <c r="B2577" s="5">
        <v>72052.360166630067</v>
      </c>
      <c r="C2577" s="19">
        <v>-10.509139762273891</v>
      </c>
      <c r="D2577" s="5">
        <v>125451.44505944439</v>
      </c>
      <c r="E2577" s="6">
        <v>74.111499983237579</v>
      </c>
    </row>
    <row r="2578" spans="1:5" x14ac:dyDescent="0.3">
      <c r="A2578" s="4">
        <v>2575</v>
      </c>
      <c r="B2578" s="5">
        <v>65650.792646373084</v>
      </c>
      <c r="C2578" s="19">
        <v>-18.460049113929049</v>
      </c>
      <c r="D2578" s="5">
        <v>119518.84820875261</v>
      </c>
      <c r="E2578" s="6">
        <v>82.052406971746578</v>
      </c>
    </row>
    <row r="2579" spans="1:5" x14ac:dyDescent="0.3">
      <c r="A2579" s="4">
        <v>2576</v>
      </c>
      <c r="B2579" s="5">
        <v>58104.58942848703</v>
      </c>
      <c r="C2579" s="19">
        <v>-27.832625056418191</v>
      </c>
      <c r="D2579" s="5">
        <v>116049.60731262517</v>
      </c>
      <c r="E2579" s="6">
        <v>99.725371875236675</v>
      </c>
    </row>
    <row r="2580" spans="1:5" x14ac:dyDescent="0.3">
      <c r="A2580" s="4">
        <v>2577</v>
      </c>
      <c r="B2580" s="5">
        <v>47089.318749763741</v>
      </c>
      <c r="C2580" s="19">
        <v>-41.513870840881616</v>
      </c>
      <c r="D2580" s="5">
        <v>85821.241606028663</v>
      </c>
      <c r="E2580" s="6">
        <v>82.252034823628122</v>
      </c>
    </row>
    <row r="2581" spans="1:5" x14ac:dyDescent="0.3">
      <c r="A2581" s="4">
        <v>2578</v>
      </c>
      <c r="B2581" s="5">
        <v>77718.736718191183</v>
      </c>
      <c r="C2581" s="19">
        <v>-3.4713562551496575</v>
      </c>
      <c r="D2581" s="5">
        <v>148159.90819682842</v>
      </c>
      <c r="E2581" s="6">
        <v>90.636022216955908</v>
      </c>
    </row>
    <row r="2582" spans="1:5" x14ac:dyDescent="0.3">
      <c r="A2582" s="4">
        <v>2579</v>
      </c>
      <c r="B2582" s="5">
        <v>65892.041448627773</v>
      </c>
      <c r="C2582" s="19">
        <v>-18.160411977891247</v>
      </c>
      <c r="D2582" s="5">
        <v>112382.53647726268</v>
      </c>
      <c r="E2582" s="6">
        <v>70.555554216484339</v>
      </c>
    </row>
    <row r="2583" spans="1:5" x14ac:dyDescent="0.3">
      <c r="A2583" s="4">
        <v>2580</v>
      </c>
      <c r="B2583" s="5">
        <v>74546.865819633007</v>
      </c>
      <c r="C2583" s="19">
        <v>-7.410900423009446</v>
      </c>
      <c r="D2583" s="5">
        <v>155567.53700451262</v>
      </c>
      <c r="E2583" s="6">
        <v>108.68420864387518</v>
      </c>
    </row>
    <row r="2584" spans="1:5" x14ac:dyDescent="0.3">
      <c r="A2584" s="4">
        <v>2581</v>
      </c>
      <c r="B2584" s="5">
        <v>134769.05141414341</v>
      </c>
      <c r="C2584" s="19">
        <v>67.386582709884792</v>
      </c>
      <c r="D2584" s="5">
        <v>249268.2261147497</v>
      </c>
      <c r="E2584" s="6">
        <v>84.959546349222208</v>
      </c>
    </row>
    <row r="2585" spans="1:5" x14ac:dyDescent="0.3">
      <c r="A2585" s="4">
        <v>2582</v>
      </c>
      <c r="B2585" s="5">
        <v>42129.464219234658</v>
      </c>
      <c r="C2585" s="19">
        <v>-47.674136064179585</v>
      </c>
      <c r="D2585" s="5">
        <v>84778.378373435407</v>
      </c>
      <c r="E2585" s="6">
        <v>101.23298490638987</v>
      </c>
    </row>
    <row r="2586" spans="1:5" x14ac:dyDescent="0.3">
      <c r="A2586" s="4">
        <v>2583</v>
      </c>
      <c r="B2586" s="5">
        <v>61546.78298230029</v>
      </c>
      <c r="C2586" s="19">
        <v>-23.557333289110193</v>
      </c>
      <c r="D2586" s="5">
        <v>116567.2695306086</v>
      </c>
      <c r="E2586" s="6">
        <v>89.39620217701902</v>
      </c>
    </row>
    <row r="2587" spans="1:5" x14ac:dyDescent="0.3">
      <c r="A2587" s="4">
        <v>2584</v>
      </c>
      <c r="B2587" s="5">
        <v>92039.281941370034</v>
      </c>
      <c r="C2587" s="19">
        <v>14.315124411573436</v>
      </c>
      <c r="D2587" s="5">
        <v>181239.70500568551</v>
      </c>
      <c r="E2587" s="6">
        <v>96.91560079872967</v>
      </c>
    </row>
    <row r="2588" spans="1:5" x14ac:dyDescent="0.3">
      <c r="A2588" s="4">
        <v>2585</v>
      </c>
      <c r="B2588" s="5">
        <v>55288.825234340722</v>
      </c>
      <c r="C2588" s="19">
        <v>-31.329875658313721</v>
      </c>
      <c r="D2588" s="5">
        <v>103719.99854471481</v>
      </c>
      <c r="E2588" s="6">
        <v>87.596676371942067</v>
      </c>
    </row>
    <row r="2589" spans="1:5" x14ac:dyDescent="0.3">
      <c r="A2589" s="4">
        <v>2586</v>
      </c>
      <c r="B2589" s="5">
        <v>57029.684561592207</v>
      </c>
      <c r="C2589" s="19">
        <v>-29.167684185497034</v>
      </c>
      <c r="D2589" s="5">
        <v>90148.579741683847</v>
      </c>
      <c r="E2589" s="6">
        <v>58.073081474478691</v>
      </c>
    </row>
    <row r="2590" spans="1:5" x14ac:dyDescent="0.3">
      <c r="A2590" s="4">
        <v>2587</v>
      </c>
      <c r="B2590" s="5">
        <v>88027.042176036572</v>
      </c>
      <c r="C2590" s="19">
        <v>9.3318207800291564</v>
      </c>
      <c r="D2590" s="5">
        <v>162323.87603258004</v>
      </c>
      <c r="E2590" s="6">
        <v>84.402283684557503</v>
      </c>
    </row>
    <row r="2591" spans="1:5" x14ac:dyDescent="0.3">
      <c r="A2591" s="4">
        <v>2588</v>
      </c>
      <c r="B2591" s="5">
        <v>58115.659405777988</v>
      </c>
      <c r="C2591" s="19">
        <v>-27.818875863632709</v>
      </c>
      <c r="D2591" s="5">
        <v>97519.395890137035</v>
      </c>
      <c r="E2591" s="6">
        <v>67.802270312778106</v>
      </c>
    </row>
    <row r="2592" spans="1:5" x14ac:dyDescent="0.3">
      <c r="A2592" s="4">
        <v>2589</v>
      </c>
      <c r="B2592" s="5">
        <v>74778.591833203303</v>
      </c>
      <c r="C2592" s="19">
        <v>-7.123090832235361</v>
      </c>
      <c r="D2592" s="5">
        <v>129215.18250985634</v>
      </c>
      <c r="E2592" s="6">
        <v>72.797025648832857</v>
      </c>
    </row>
    <row r="2593" spans="1:5" x14ac:dyDescent="0.3">
      <c r="A2593" s="4">
        <v>2590</v>
      </c>
      <c r="B2593" s="5">
        <v>73125.645864133665</v>
      </c>
      <c r="C2593" s="19">
        <v>-9.1760916826784573</v>
      </c>
      <c r="D2593" s="5">
        <v>145336.2244212412</v>
      </c>
      <c r="E2593" s="6">
        <v>98.748636957372923</v>
      </c>
    </row>
    <row r="2594" spans="1:5" x14ac:dyDescent="0.3">
      <c r="A2594" s="4">
        <v>2591</v>
      </c>
      <c r="B2594" s="5">
        <v>71605.116169969318</v>
      </c>
      <c r="C2594" s="19">
        <v>-11.064628158556374</v>
      </c>
      <c r="D2594" s="5">
        <v>135260.79442468329</v>
      </c>
      <c r="E2594" s="6">
        <v>88.898226355242912</v>
      </c>
    </row>
    <row r="2595" spans="1:5" x14ac:dyDescent="0.3">
      <c r="A2595" s="4">
        <v>2592</v>
      </c>
      <c r="B2595" s="5">
        <v>93535.565564571312</v>
      </c>
      <c r="C2595" s="19">
        <v>16.173546651875277</v>
      </c>
      <c r="D2595" s="5">
        <v>169039.88447793425</v>
      </c>
      <c r="E2595" s="6">
        <v>80.72257697660396</v>
      </c>
    </row>
    <row r="2596" spans="1:5" x14ac:dyDescent="0.3">
      <c r="A2596" s="4">
        <v>2593</v>
      </c>
      <c r="B2596" s="5">
        <v>49838.024199051215</v>
      </c>
      <c r="C2596" s="19">
        <v>-38.099908902258193</v>
      </c>
      <c r="D2596" s="5">
        <v>91790.662245918837</v>
      </c>
      <c r="E2596" s="6">
        <v>84.177971982417176</v>
      </c>
    </row>
    <row r="2597" spans="1:5" x14ac:dyDescent="0.3">
      <c r="A2597" s="4">
        <v>2594</v>
      </c>
      <c r="B2597" s="5">
        <v>38373.079976535751</v>
      </c>
      <c r="C2597" s="19">
        <v>-52.339660642210731</v>
      </c>
      <c r="D2597" s="5">
        <v>75183.478692513891</v>
      </c>
      <c r="E2597" s="6">
        <v>95.927662669993765</v>
      </c>
    </row>
    <row r="2598" spans="1:5" x14ac:dyDescent="0.3">
      <c r="A2598" s="4">
        <v>2595</v>
      </c>
      <c r="B2598" s="5">
        <v>158777.31925889009</v>
      </c>
      <c r="C2598" s="19">
        <v>97.205460776826627</v>
      </c>
      <c r="D2598" s="5">
        <v>308527.76615159551</v>
      </c>
      <c r="E2598" s="6">
        <v>94.314759558658295</v>
      </c>
    </row>
    <row r="2599" spans="1:5" x14ac:dyDescent="0.3">
      <c r="A2599" s="4">
        <v>2596</v>
      </c>
      <c r="B2599" s="5">
        <v>46169.031150972696</v>
      </c>
      <c r="C2599" s="19">
        <v>-42.656891398313192</v>
      </c>
      <c r="D2599" s="5">
        <v>89717.19422104198</v>
      </c>
      <c r="E2599" s="6">
        <v>94.323320165993579</v>
      </c>
    </row>
    <row r="2600" spans="1:5" x14ac:dyDescent="0.3">
      <c r="A2600" s="4">
        <v>2597</v>
      </c>
      <c r="B2600" s="5">
        <v>23292.868705192555</v>
      </c>
      <c r="C2600" s="19">
        <v>-71.069665823417481</v>
      </c>
      <c r="D2600" s="5">
        <v>50514.803092514383</v>
      </c>
      <c r="E2600" s="6">
        <v>116.86810556422958</v>
      </c>
    </row>
    <row r="2601" spans="1:5" x14ac:dyDescent="0.3">
      <c r="A2601" s="4">
        <v>2598</v>
      </c>
      <c r="B2601" s="5">
        <v>42337.735430066969</v>
      </c>
      <c r="C2601" s="19">
        <v>-47.415457933761196</v>
      </c>
      <c r="D2601" s="5">
        <v>86092.035850710352</v>
      </c>
      <c r="E2601" s="6">
        <v>103.34586858788488</v>
      </c>
    </row>
    <row r="2602" spans="1:5" x14ac:dyDescent="0.3">
      <c r="A2602" s="4">
        <v>2599</v>
      </c>
      <c r="B2602" s="5">
        <v>41288.289961971401</v>
      </c>
      <c r="C2602" s="19">
        <v>-48.718895843293424</v>
      </c>
      <c r="D2602" s="5">
        <v>78643.824894966485</v>
      </c>
      <c r="E2602" s="6">
        <v>90.474890017003403</v>
      </c>
    </row>
    <row r="2603" spans="1:5" x14ac:dyDescent="0.3">
      <c r="A2603" s="4">
        <v>2600</v>
      </c>
      <c r="B2603" s="5">
        <v>40087.437615937059</v>
      </c>
      <c r="C2603" s="19">
        <v>-50.210384938398398</v>
      </c>
      <c r="D2603" s="5">
        <v>69190.560170732206</v>
      </c>
      <c r="E2603" s="6">
        <v>72.599109061600345</v>
      </c>
    </row>
    <row r="2604" spans="1:5" x14ac:dyDescent="0.3">
      <c r="A2604" s="4">
        <v>2601</v>
      </c>
      <c r="B2604" s="5">
        <v>33763.751760691928</v>
      </c>
      <c r="C2604" s="19">
        <v>-58.06456328523236</v>
      </c>
      <c r="D2604" s="5">
        <v>63021.531660278612</v>
      </c>
      <c r="E2604" s="6">
        <v>86.654410051814395</v>
      </c>
    </row>
    <row r="2605" spans="1:5" x14ac:dyDescent="0.3">
      <c r="A2605" s="4">
        <v>2602</v>
      </c>
      <c r="B2605" s="5">
        <v>49266.578660980929</v>
      </c>
      <c r="C2605" s="19">
        <v>-38.8096587655889</v>
      </c>
      <c r="D2605" s="5">
        <v>99469.070988385007</v>
      </c>
      <c r="E2605" s="6">
        <v>101.89969283814789</v>
      </c>
    </row>
    <row r="2606" spans="1:5" x14ac:dyDescent="0.3">
      <c r="A2606" s="4">
        <v>2603</v>
      </c>
      <c r="B2606" s="5">
        <v>65451.975504731752</v>
      </c>
      <c r="C2606" s="19">
        <v>-18.706985050438856</v>
      </c>
      <c r="D2606" s="5">
        <v>133055.29750489647</v>
      </c>
      <c r="E2606" s="6">
        <v>103.28690842230948</v>
      </c>
    </row>
    <row r="2607" spans="1:5" x14ac:dyDescent="0.3">
      <c r="A2607" s="4">
        <v>2604</v>
      </c>
      <c r="B2607" s="5">
        <v>66833.588888308121</v>
      </c>
      <c r="C2607" s="19">
        <v>-16.990986158434936</v>
      </c>
      <c r="D2607" s="5">
        <v>111550.27320062106</v>
      </c>
      <c r="E2607" s="6">
        <v>66.907501237204514</v>
      </c>
    </row>
    <row r="2608" spans="1:5" x14ac:dyDescent="0.3">
      <c r="A2608" s="4">
        <v>2605</v>
      </c>
      <c r="B2608" s="5">
        <v>75802.663582507594</v>
      </c>
      <c r="C2608" s="19">
        <v>-5.8511677255050154</v>
      </c>
      <c r="D2608" s="5">
        <v>168304.3101881684</v>
      </c>
      <c r="E2608" s="6">
        <v>122.02954650132732</v>
      </c>
    </row>
    <row r="2609" spans="1:5" x14ac:dyDescent="0.3">
      <c r="A2609" s="4">
        <v>2606</v>
      </c>
      <c r="B2609" s="5">
        <v>64940.82333009343</v>
      </c>
      <c r="C2609" s="19">
        <v>-19.341849025955831</v>
      </c>
      <c r="D2609" s="5">
        <v>109270.90451240212</v>
      </c>
      <c r="E2609" s="6">
        <v>68.262271571426524</v>
      </c>
    </row>
    <row r="2610" spans="1:5" x14ac:dyDescent="0.3">
      <c r="A2610" s="4">
        <v>2607</v>
      </c>
      <c r="B2610" s="5">
        <v>119739.76123058666</v>
      </c>
      <c r="C2610" s="19">
        <v>48.719822812242825</v>
      </c>
      <c r="D2610" s="5">
        <v>220624.15136050305</v>
      </c>
      <c r="E2610" s="6">
        <v>84.253041005852765</v>
      </c>
    </row>
    <row r="2611" spans="1:5" x14ac:dyDescent="0.3">
      <c r="A2611" s="4">
        <v>2608</v>
      </c>
      <c r="B2611" s="5">
        <v>63593.897308756939</v>
      </c>
      <c r="C2611" s="19">
        <v>-21.014765333585757</v>
      </c>
      <c r="D2611" s="5">
        <v>120355.93830367808</v>
      </c>
      <c r="E2611" s="6">
        <v>89.257056725637966</v>
      </c>
    </row>
    <row r="2612" spans="1:5" x14ac:dyDescent="0.3">
      <c r="A2612" s="4">
        <v>2609</v>
      </c>
      <c r="B2612" s="5">
        <v>53158.013578409344</v>
      </c>
      <c r="C2612" s="19">
        <v>-33.976397821541724</v>
      </c>
      <c r="D2612" s="5">
        <v>101584.76709661604</v>
      </c>
      <c r="E2612" s="6">
        <v>91.099629685703121</v>
      </c>
    </row>
    <row r="2613" spans="1:5" x14ac:dyDescent="0.3">
      <c r="A2613" s="4">
        <v>2610</v>
      </c>
      <c r="B2613" s="5">
        <v>32960.162058520429</v>
      </c>
      <c r="C2613" s="19">
        <v>-59.062642092910487</v>
      </c>
      <c r="D2613" s="5">
        <v>67592.191385334241</v>
      </c>
      <c r="E2613" s="6">
        <v>105.07238788852129</v>
      </c>
    </row>
    <row r="2614" spans="1:5" x14ac:dyDescent="0.3">
      <c r="A2614" s="4">
        <v>2611</v>
      </c>
      <c r="B2614" s="5">
        <v>58755.827324420752</v>
      </c>
      <c r="C2614" s="19">
        <v>-27.023771059245355</v>
      </c>
      <c r="D2614" s="5">
        <v>101546.89381614189</v>
      </c>
      <c r="E2614" s="6">
        <v>72.828634095219087</v>
      </c>
    </row>
    <row r="2615" spans="1:5" x14ac:dyDescent="0.3">
      <c r="A2615" s="4">
        <v>2612</v>
      </c>
      <c r="B2615" s="5">
        <v>76526.805328425806</v>
      </c>
      <c r="C2615" s="19">
        <v>-4.9517652961272374</v>
      </c>
      <c r="D2615" s="5">
        <v>138055.32357179362</v>
      </c>
      <c r="E2615" s="6">
        <v>80.401263295010565</v>
      </c>
    </row>
    <row r="2616" spans="1:5" x14ac:dyDescent="0.3">
      <c r="A2616" s="4">
        <v>2613</v>
      </c>
      <c r="B2616" s="5">
        <v>92307.272279617115</v>
      </c>
      <c r="C2616" s="19">
        <v>14.647975214096315</v>
      </c>
      <c r="D2616" s="5">
        <v>159762.33830182962</v>
      </c>
      <c r="E2616" s="6">
        <v>73.076654045065553</v>
      </c>
    </row>
    <row r="2617" spans="1:5" x14ac:dyDescent="0.3">
      <c r="A2617" s="4">
        <v>2614</v>
      </c>
      <c r="B2617" s="5">
        <v>69830.819206824279</v>
      </c>
      <c r="C2617" s="19">
        <v>-13.268350023903022</v>
      </c>
      <c r="D2617" s="5">
        <v>114362.57496301293</v>
      </c>
      <c r="E2617" s="6">
        <v>63.770919863183771</v>
      </c>
    </row>
    <row r="2618" spans="1:5" x14ac:dyDescent="0.3">
      <c r="A2618" s="4">
        <v>2615</v>
      </c>
      <c r="B2618" s="5">
        <v>48738.767621039333</v>
      </c>
      <c r="C2618" s="19">
        <v>-39.465213474665838</v>
      </c>
      <c r="D2618" s="5">
        <v>95504.855675065046</v>
      </c>
      <c r="E2618" s="6">
        <v>95.952545246215735</v>
      </c>
    </row>
    <row r="2619" spans="1:5" x14ac:dyDescent="0.3">
      <c r="A2619" s="4">
        <v>2616</v>
      </c>
      <c r="B2619" s="5">
        <v>22726.523949827126</v>
      </c>
      <c r="C2619" s="19">
        <v>-71.773080385155168</v>
      </c>
      <c r="D2619" s="5">
        <v>50893.292369877949</v>
      </c>
      <c r="E2619" s="6">
        <v>123.93786433083216</v>
      </c>
    </row>
    <row r="2620" spans="1:5" x14ac:dyDescent="0.3">
      <c r="A2620" s="4">
        <v>2617</v>
      </c>
      <c r="B2620" s="5">
        <v>109716.45107209182</v>
      </c>
      <c r="C2620" s="19">
        <v>36.270617172915664</v>
      </c>
      <c r="D2620" s="5">
        <v>221945.55870961031</v>
      </c>
      <c r="E2620" s="6">
        <v>102.29013656646228</v>
      </c>
    </row>
    <row r="2621" spans="1:5" x14ac:dyDescent="0.3">
      <c r="A2621" s="4">
        <v>2618</v>
      </c>
      <c r="B2621" s="5">
        <v>81480.600460719565</v>
      </c>
      <c r="C2621" s="19">
        <v>1.2009740007562693</v>
      </c>
      <c r="D2621" s="5">
        <v>139500.13730008851</v>
      </c>
      <c r="E2621" s="6">
        <v>71.20656513489881</v>
      </c>
    </row>
    <row r="2622" spans="1:5" x14ac:dyDescent="0.3">
      <c r="A2622" s="4">
        <v>2619</v>
      </c>
      <c r="B2622" s="5">
        <v>31716.043467563144</v>
      </c>
      <c r="C2622" s="19">
        <v>-60.607868962440293</v>
      </c>
      <c r="D2622" s="5">
        <v>62278.687266570538</v>
      </c>
      <c r="E2622" s="6">
        <v>96.363355757992437</v>
      </c>
    </row>
    <row r="2623" spans="1:5" x14ac:dyDescent="0.3">
      <c r="A2623" s="4">
        <v>2620</v>
      </c>
      <c r="B2623" s="5">
        <v>47291.015796992724</v>
      </c>
      <c r="C2623" s="19">
        <v>-41.263357988531077</v>
      </c>
      <c r="D2623" s="5">
        <v>100463.35474835137</v>
      </c>
      <c r="E2623" s="6">
        <v>112.43644919705854</v>
      </c>
    </row>
    <row r="2624" spans="1:5" x14ac:dyDescent="0.3">
      <c r="A2624" s="4">
        <v>2621</v>
      </c>
      <c r="B2624" s="5">
        <v>82260.627893153316</v>
      </c>
      <c r="C2624" s="19">
        <v>2.1697878713371588</v>
      </c>
      <c r="D2624" s="5">
        <v>148588.98546422517</v>
      </c>
      <c r="E2624" s="6">
        <v>80.631961206550031</v>
      </c>
    </row>
    <row r="2625" spans="1:5" x14ac:dyDescent="0.3">
      <c r="A2625" s="4">
        <v>2622</v>
      </c>
      <c r="B2625" s="5">
        <v>78080.689805927221</v>
      </c>
      <c r="C2625" s="19">
        <v>-3.0218013326975717</v>
      </c>
      <c r="D2625" s="5">
        <v>150601.03928286961</v>
      </c>
      <c r="E2625" s="6">
        <v>92.878725402138102</v>
      </c>
    </row>
    <row r="2626" spans="1:5" x14ac:dyDescent="0.3">
      <c r="A2626" s="4">
        <v>2623</v>
      </c>
      <c r="B2626" s="5">
        <v>70246.851146022251</v>
      </c>
      <c r="C2626" s="19">
        <v>-12.751627795247439</v>
      </c>
      <c r="D2626" s="5">
        <v>119076.31364164292</v>
      </c>
      <c r="E2626" s="6">
        <v>69.511247406832197</v>
      </c>
    </row>
    <row r="2627" spans="1:5" x14ac:dyDescent="0.3">
      <c r="A2627" s="4">
        <v>2624</v>
      </c>
      <c r="B2627" s="5">
        <v>77225.982077939974</v>
      </c>
      <c r="C2627" s="19">
        <v>-4.0833700259717656</v>
      </c>
      <c r="D2627" s="5">
        <v>146711.90808426274</v>
      </c>
      <c r="E2627" s="6">
        <v>89.977393794998179</v>
      </c>
    </row>
    <row r="2628" spans="1:5" x14ac:dyDescent="0.3">
      <c r="A2628" s="4">
        <v>2625</v>
      </c>
      <c r="B2628" s="5">
        <v>104728.35128800647</v>
      </c>
      <c r="C2628" s="19">
        <v>30.075270627749301</v>
      </c>
      <c r="D2628" s="5">
        <v>204148.6244769574</v>
      </c>
      <c r="E2628" s="6">
        <v>94.931574846950326</v>
      </c>
    </row>
    <row r="2629" spans="1:5" x14ac:dyDescent="0.3">
      <c r="A2629" s="4">
        <v>2626</v>
      </c>
      <c r="B2629" s="5">
        <v>47653.32122160709</v>
      </c>
      <c r="C2629" s="19">
        <v>-40.813365454732711</v>
      </c>
      <c r="D2629" s="5">
        <v>88196.76759218541</v>
      </c>
      <c r="E2629" s="6">
        <v>85.080001416973658</v>
      </c>
    </row>
    <row r="2630" spans="1:5" x14ac:dyDescent="0.3">
      <c r="A2630" s="4">
        <v>2627</v>
      </c>
      <c r="B2630" s="5">
        <v>72488.108060614904</v>
      </c>
      <c r="C2630" s="19">
        <v>-9.9679298173213784</v>
      </c>
      <c r="D2630" s="5">
        <v>114151.82297165001</v>
      </c>
      <c r="E2630" s="6">
        <v>57.476620684037862</v>
      </c>
    </row>
    <row r="2631" spans="1:5" x14ac:dyDescent="0.3">
      <c r="A2631" s="4">
        <v>2628</v>
      </c>
      <c r="B2631" s="5">
        <v>70254.746461318719</v>
      </c>
      <c r="C2631" s="19">
        <v>-12.741821613241813</v>
      </c>
      <c r="D2631" s="5">
        <v>124960.69493904608</v>
      </c>
      <c r="E2631" s="6">
        <v>77.867975095245257</v>
      </c>
    </row>
    <row r="2632" spans="1:5" x14ac:dyDescent="0.3">
      <c r="A2632" s="4">
        <v>2629</v>
      </c>
      <c r="B2632" s="5">
        <v>101746.10216693944</v>
      </c>
      <c r="C2632" s="19">
        <v>26.371241520718137</v>
      </c>
      <c r="D2632" s="5">
        <v>183808.09315078612</v>
      </c>
      <c r="E2632" s="6">
        <v>80.653695066572539</v>
      </c>
    </row>
    <row r="2633" spans="1:5" x14ac:dyDescent="0.3">
      <c r="A2633" s="4">
        <v>2630</v>
      </c>
      <c r="B2633" s="5">
        <v>56354.263955802395</v>
      </c>
      <c r="C2633" s="19">
        <v>-30.006573722142775</v>
      </c>
      <c r="D2633" s="5">
        <v>95152.130800925996</v>
      </c>
      <c r="E2633" s="6">
        <v>68.846373143214237</v>
      </c>
    </row>
    <row r="2634" spans="1:5" x14ac:dyDescent="0.3">
      <c r="A2634" s="4">
        <v>2631</v>
      </c>
      <c r="B2634" s="5">
        <v>77649.686036841711</v>
      </c>
      <c r="C2634" s="19">
        <v>-3.557118954104622</v>
      </c>
      <c r="D2634" s="5">
        <v>144107.41101720376</v>
      </c>
      <c r="E2634" s="6">
        <v>85.586598442691042</v>
      </c>
    </row>
    <row r="2635" spans="1:5" x14ac:dyDescent="0.3">
      <c r="A2635" s="4">
        <v>2632</v>
      </c>
      <c r="B2635" s="5">
        <v>48633.65257204276</v>
      </c>
      <c r="C2635" s="19">
        <v>-39.59576903366321</v>
      </c>
      <c r="D2635" s="5">
        <v>89176.40075205428</v>
      </c>
      <c r="E2635" s="6">
        <v>83.363568302738727</v>
      </c>
    </row>
    <row r="2636" spans="1:5" x14ac:dyDescent="0.3">
      <c r="A2636" s="4">
        <v>2633</v>
      </c>
      <c r="B2636" s="5">
        <v>50558.84993941096</v>
      </c>
      <c r="C2636" s="19">
        <v>-37.204625035954471</v>
      </c>
      <c r="D2636" s="5">
        <v>102547.11412756516</v>
      </c>
      <c r="E2636" s="6">
        <v>102.82722856721669</v>
      </c>
    </row>
    <row r="2637" spans="1:5" x14ac:dyDescent="0.3">
      <c r="A2637" s="4">
        <v>2634</v>
      </c>
      <c r="B2637" s="5">
        <v>136106.66144774359</v>
      </c>
      <c r="C2637" s="19">
        <v>69.047928324277777</v>
      </c>
      <c r="D2637" s="5">
        <v>226452.74295846914</v>
      </c>
      <c r="E2637" s="6">
        <v>66.378882965557679</v>
      </c>
    </row>
    <row r="2638" spans="1:5" x14ac:dyDescent="0.3">
      <c r="A2638" s="4">
        <v>2635</v>
      </c>
      <c r="B2638" s="5">
        <v>59315.929134399019</v>
      </c>
      <c r="C2638" s="19">
        <v>-26.328110394143689</v>
      </c>
      <c r="D2638" s="5">
        <v>109268.53980203792</v>
      </c>
      <c r="E2638" s="6">
        <v>84.214495830378794</v>
      </c>
    </row>
    <row r="2639" spans="1:5" x14ac:dyDescent="0.3">
      <c r="A2639" s="4">
        <v>2636</v>
      </c>
      <c r="B2639" s="5">
        <v>55494.919467485211</v>
      </c>
      <c r="C2639" s="19">
        <v>-31.073901389442003</v>
      </c>
      <c r="D2639" s="5">
        <v>95965.048595177635</v>
      </c>
      <c r="E2639" s="6">
        <v>72.925827293801376</v>
      </c>
    </row>
    <row r="2640" spans="1:5" x14ac:dyDescent="0.3">
      <c r="A2640" s="4">
        <v>2637</v>
      </c>
      <c r="B2640" s="5">
        <v>81855.685072350432</v>
      </c>
      <c r="C2640" s="19">
        <v>1.6668386092042464</v>
      </c>
      <c r="D2640" s="5">
        <v>165852.13572835317</v>
      </c>
      <c r="E2640" s="6">
        <v>102.6152924891657</v>
      </c>
    </row>
    <row r="2641" spans="1:5" x14ac:dyDescent="0.3">
      <c r="A2641" s="4">
        <v>2638</v>
      </c>
      <c r="B2641" s="5">
        <v>82962.046389995507</v>
      </c>
      <c r="C2641" s="19">
        <v>3.0409674485764846</v>
      </c>
      <c r="D2641" s="5">
        <v>158864.06979591772</v>
      </c>
      <c r="E2641" s="6">
        <v>91.490056849749223</v>
      </c>
    </row>
    <row r="2642" spans="1:5" x14ac:dyDescent="0.3">
      <c r="A2642" s="4">
        <v>2639</v>
      </c>
      <c r="B2642" s="5">
        <v>78595.342945301934</v>
      </c>
      <c r="C2642" s="19">
        <v>-2.3825890701127306</v>
      </c>
      <c r="D2642" s="5">
        <v>149689.97359311488</v>
      </c>
      <c r="E2642" s="6">
        <v>90.45654358591058</v>
      </c>
    </row>
    <row r="2643" spans="1:5" x14ac:dyDescent="0.3">
      <c r="A2643" s="4">
        <v>2640</v>
      </c>
      <c r="B2643" s="5">
        <v>62732.743503084843</v>
      </c>
      <c r="C2643" s="19">
        <v>-22.084340218965838</v>
      </c>
      <c r="D2643" s="5">
        <v>134976.29322649259</v>
      </c>
      <c r="E2643" s="6">
        <v>115.16083258793745</v>
      </c>
    </row>
    <row r="2644" spans="1:5" x14ac:dyDescent="0.3">
      <c r="A2644" s="4">
        <v>2641</v>
      </c>
      <c r="B2644" s="5">
        <v>94768.242093128953</v>
      </c>
      <c r="C2644" s="19">
        <v>17.704562189469939</v>
      </c>
      <c r="D2644" s="5">
        <v>191870.10869359595</v>
      </c>
      <c r="E2644" s="6">
        <v>102.46245414686999</v>
      </c>
    </row>
    <row r="2645" spans="1:5" x14ac:dyDescent="0.3">
      <c r="A2645" s="4">
        <v>2642</v>
      </c>
      <c r="B2645" s="5">
        <v>52111.547331530899</v>
      </c>
      <c r="C2645" s="19">
        <v>-35.276135462700474</v>
      </c>
      <c r="D2645" s="5">
        <v>80543.079173456892</v>
      </c>
      <c r="E2645" s="6">
        <v>54.558986055520663</v>
      </c>
    </row>
    <row r="2646" spans="1:5" x14ac:dyDescent="0.3">
      <c r="A2646" s="4">
        <v>2643</v>
      </c>
      <c r="B2646" s="5">
        <v>126412.07032290696</v>
      </c>
      <c r="C2646" s="19">
        <v>57.007000068655408</v>
      </c>
      <c r="D2646" s="5">
        <v>208231.28131906665</v>
      </c>
      <c r="E2646" s="6">
        <v>64.724207733613355</v>
      </c>
    </row>
    <row r="2647" spans="1:5" x14ac:dyDescent="0.3">
      <c r="A2647" s="4">
        <v>2644</v>
      </c>
      <c r="B2647" s="5">
        <v>91941.306993890466</v>
      </c>
      <c r="C2647" s="19">
        <v>14.193437039897953</v>
      </c>
      <c r="D2647" s="5">
        <v>171905.64782869784</v>
      </c>
      <c r="E2647" s="6">
        <v>86.973247878802766</v>
      </c>
    </row>
    <row r="2648" spans="1:5" x14ac:dyDescent="0.3">
      <c r="A2648" s="4">
        <v>2645</v>
      </c>
      <c r="B2648" s="5">
        <v>371825.34735701635</v>
      </c>
      <c r="C2648" s="19">
        <v>361.81651948969051</v>
      </c>
      <c r="D2648" s="5">
        <v>655927.23948067462</v>
      </c>
      <c r="E2648" s="6">
        <v>76.407349349121034</v>
      </c>
    </row>
    <row r="2649" spans="1:5" x14ac:dyDescent="0.3">
      <c r="A2649" s="4">
        <v>2646</v>
      </c>
      <c r="B2649" s="5">
        <v>61187.365845960092</v>
      </c>
      <c r="C2649" s="19">
        <v>-24.003738495558391</v>
      </c>
      <c r="D2649" s="5">
        <v>105709.96419035835</v>
      </c>
      <c r="E2649" s="6">
        <v>72.764365206510803</v>
      </c>
    </row>
    <row r="2650" spans="1:5" x14ac:dyDescent="0.3">
      <c r="A2650" s="4">
        <v>2647</v>
      </c>
      <c r="B2650" s="5">
        <v>97258.032874535595</v>
      </c>
      <c r="C2650" s="19">
        <v>20.796945538533823</v>
      </c>
      <c r="D2650" s="5">
        <v>176628.85505369504</v>
      </c>
      <c r="E2650" s="6">
        <v>81.608500432605965</v>
      </c>
    </row>
    <row r="2651" spans="1:5" x14ac:dyDescent="0.3">
      <c r="A2651" s="4">
        <v>2648</v>
      </c>
      <c r="B2651" s="5">
        <v>61205.121464098105</v>
      </c>
      <c r="C2651" s="19">
        <v>-23.981685567138715</v>
      </c>
      <c r="D2651" s="5">
        <v>116030.84418620466</v>
      </c>
      <c r="E2651" s="6">
        <v>89.577018083799402</v>
      </c>
    </row>
    <row r="2652" spans="1:5" x14ac:dyDescent="0.3">
      <c r="A2652" s="4">
        <v>2649</v>
      </c>
      <c r="B2652" s="5">
        <v>32441.152315783056</v>
      </c>
      <c r="C2652" s="19">
        <v>-59.707265367455761</v>
      </c>
      <c r="D2652" s="5">
        <v>64045.707193661299</v>
      </c>
      <c r="E2652" s="6">
        <v>97.421184581357195</v>
      </c>
    </row>
    <row r="2653" spans="1:5" x14ac:dyDescent="0.3">
      <c r="A2653" s="4">
        <v>2650</v>
      </c>
      <c r="B2653" s="5">
        <v>111839.60419717398</v>
      </c>
      <c r="C2653" s="19">
        <v>38.907627246431836</v>
      </c>
      <c r="D2653" s="5">
        <v>194707.24997956297</v>
      </c>
      <c r="E2653" s="6">
        <v>74.095081413461344</v>
      </c>
    </row>
    <row r="2654" spans="1:5" x14ac:dyDescent="0.3">
      <c r="A2654" s="4">
        <v>2651</v>
      </c>
      <c r="B2654" s="5">
        <v>74210.688105532361</v>
      </c>
      <c r="C2654" s="19">
        <v>-7.8284416771480236</v>
      </c>
      <c r="D2654" s="5">
        <v>122814.95916716671</v>
      </c>
      <c r="E2654" s="6">
        <v>65.494974244836484</v>
      </c>
    </row>
    <row r="2655" spans="1:5" x14ac:dyDescent="0.3">
      <c r="A2655" s="4">
        <v>2652</v>
      </c>
      <c r="B2655" s="5">
        <v>48189.897409050769</v>
      </c>
      <c r="C2655" s="19">
        <v>-40.14692420997175</v>
      </c>
      <c r="D2655" s="5">
        <v>87474.877377874975</v>
      </c>
      <c r="E2655" s="6">
        <v>81.521194443227657</v>
      </c>
    </row>
    <row r="2656" spans="1:5" x14ac:dyDescent="0.3">
      <c r="A2656" s="4">
        <v>2653</v>
      </c>
      <c r="B2656" s="5">
        <v>48935.024528165057</v>
      </c>
      <c r="C2656" s="19">
        <v>-39.221457414411056</v>
      </c>
      <c r="D2656" s="5">
        <v>94905.625376264317</v>
      </c>
      <c r="E2656" s="6">
        <v>93.942122827874357</v>
      </c>
    </row>
    <row r="2657" spans="1:5" x14ac:dyDescent="0.3">
      <c r="A2657" s="4">
        <v>2654</v>
      </c>
      <c r="B2657" s="5">
        <v>20631.807474646863</v>
      </c>
      <c r="C2657" s="19">
        <v>-74.374771417683448</v>
      </c>
      <c r="D2657" s="5">
        <v>46559.266379740242</v>
      </c>
      <c r="E2657" s="6">
        <v>125.66741395272329</v>
      </c>
    </row>
    <row r="2658" spans="1:5" x14ac:dyDescent="0.3">
      <c r="A2658" s="4">
        <v>2655</v>
      </c>
      <c r="B2658" s="5">
        <v>53239.631908648385</v>
      </c>
      <c r="C2658" s="19">
        <v>-33.875025783660284</v>
      </c>
      <c r="D2658" s="5">
        <v>91537.945816106265</v>
      </c>
      <c r="E2658" s="6">
        <v>71.935722570682543</v>
      </c>
    </row>
    <row r="2659" spans="1:5" x14ac:dyDescent="0.3">
      <c r="A2659" s="4">
        <v>2656</v>
      </c>
      <c r="B2659" s="5">
        <v>73038.682170044252</v>
      </c>
      <c r="C2659" s="19">
        <v>-9.2841027981438504</v>
      </c>
      <c r="D2659" s="5">
        <v>144172.82601863719</v>
      </c>
      <c r="E2659" s="6">
        <v>97.392425130265508</v>
      </c>
    </row>
    <row r="2660" spans="1:5" x14ac:dyDescent="0.3">
      <c r="A2660" s="4">
        <v>2657</v>
      </c>
      <c r="B2660" s="5">
        <v>102844.70056654587</v>
      </c>
      <c r="C2660" s="19">
        <v>27.735728618839612</v>
      </c>
      <c r="D2660" s="5">
        <v>190380.12606453069</v>
      </c>
      <c r="E2660" s="6">
        <v>85.114181883727539</v>
      </c>
    </row>
    <row r="2661" spans="1:5" x14ac:dyDescent="0.3">
      <c r="A2661" s="4">
        <v>2658</v>
      </c>
      <c r="B2661" s="5">
        <v>46225.429834349205</v>
      </c>
      <c r="C2661" s="19">
        <v>-42.586842801987316</v>
      </c>
      <c r="D2661" s="5">
        <v>88046.145261579164</v>
      </c>
      <c r="E2661" s="6">
        <v>90.471231045544144</v>
      </c>
    </row>
    <row r="2662" spans="1:5" x14ac:dyDescent="0.3">
      <c r="A2662" s="4">
        <v>2659</v>
      </c>
      <c r="B2662" s="5">
        <v>127074.93008013266</v>
      </c>
      <c r="C2662" s="19">
        <v>57.8302887125515</v>
      </c>
      <c r="D2662" s="5">
        <v>194547.22998919812</v>
      </c>
      <c r="E2662" s="6">
        <v>53.096468254216511</v>
      </c>
    </row>
    <row r="2663" spans="1:5" x14ac:dyDescent="0.3">
      <c r="A2663" s="4">
        <v>2660</v>
      </c>
      <c r="B2663" s="5">
        <v>166761.16055382989</v>
      </c>
      <c r="C2663" s="19">
        <v>107.12159431961854</v>
      </c>
      <c r="D2663" s="5">
        <v>306289.09547958738</v>
      </c>
      <c r="E2663" s="6">
        <v>83.669323517761427</v>
      </c>
    </row>
    <row r="2664" spans="1:5" x14ac:dyDescent="0.3">
      <c r="A2664" s="4">
        <v>2661</v>
      </c>
      <c r="B2664" s="5">
        <v>51750.449253120816</v>
      </c>
      <c r="C2664" s="19">
        <v>-35.724628441866955</v>
      </c>
      <c r="D2664" s="5">
        <v>96832.877048656985</v>
      </c>
      <c r="E2664" s="6">
        <v>87.115046238593706</v>
      </c>
    </row>
    <row r="2665" spans="1:5" x14ac:dyDescent="0.3">
      <c r="A2665" s="4">
        <v>2662</v>
      </c>
      <c r="B2665" s="5">
        <v>49360.228038993759</v>
      </c>
      <c r="C2665" s="19">
        <v>-38.693343860987376</v>
      </c>
      <c r="D2665" s="5">
        <v>98312.272826875822</v>
      </c>
      <c r="E2665" s="6">
        <v>99.173052339245189</v>
      </c>
    </row>
    <row r="2666" spans="1:5" x14ac:dyDescent="0.3">
      <c r="A2666" s="4">
        <v>2663</v>
      </c>
      <c r="B2666" s="5">
        <v>72604.251624724595</v>
      </c>
      <c r="C2666" s="19">
        <v>-9.8236765626158444</v>
      </c>
      <c r="D2666" s="5">
        <v>148096.24011270134</v>
      </c>
      <c r="E2666" s="6">
        <v>103.97736606139574</v>
      </c>
    </row>
    <row r="2667" spans="1:5" x14ac:dyDescent="0.3">
      <c r="A2667" s="4">
        <v>2664</v>
      </c>
      <c r="B2667" s="5">
        <v>77788.473435010208</v>
      </c>
      <c r="C2667" s="19">
        <v>-3.3847414827278155</v>
      </c>
      <c r="D2667" s="5">
        <v>124848.38958841733</v>
      </c>
      <c r="E2667" s="6">
        <v>60.497287162633654</v>
      </c>
    </row>
    <row r="2668" spans="1:5" x14ac:dyDescent="0.3">
      <c r="A2668" s="4">
        <v>2665</v>
      </c>
      <c r="B2668" s="5">
        <v>71837.539082442861</v>
      </c>
      <c r="C2668" s="19">
        <v>-10.775953001655015</v>
      </c>
      <c r="D2668" s="5">
        <v>142736.5959336255</v>
      </c>
      <c r="E2668" s="6">
        <v>98.693604704104359</v>
      </c>
    </row>
    <row r="2669" spans="1:5" x14ac:dyDescent="0.3">
      <c r="A2669" s="4">
        <v>2666</v>
      </c>
      <c r="B2669" s="5">
        <v>58550.27453342206</v>
      </c>
      <c r="C2669" s="19">
        <v>-27.279072843228526</v>
      </c>
      <c r="D2669" s="5">
        <v>110278.66448620115</v>
      </c>
      <c r="E2669" s="6">
        <v>88.348671914853512</v>
      </c>
    </row>
    <row r="2670" spans="1:5" x14ac:dyDescent="0.3">
      <c r="A2670" s="4">
        <v>2667</v>
      </c>
      <c r="B2670" s="5">
        <v>35486.46108604865</v>
      </c>
      <c r="C2670" s="19">
        <v>-55.924914575471895</v>
      </c>
      <c r="D2670" s="5">
        <v>72663.961294683992</v>
      </c>
      <c r="E2670" s="6">
        <v>104.76530786906648</v>
      </c>
    </row>
    <row r="2671" spans="1:5" x14ac:dyDescent="0.3">
      <c r="A2671" s="4">
        <v>2668</v>
      </c>
      <c r="B2671" s="5">
        <v>33668.330105810841</v>
      </c>
      <c r="C2671" s="19">
        <v>-58.183079402690097</v>
      </c>
      <c r="D2671" s="5">
        <v>70093.670549142436</v>
      </c>
      <c r="E2671" s="6">
        <v>108.18873501850608</v>
      </c>
    </row>
    <row r="2672" spans="1:5" x14ac:dyDescent="0.3">
      <c r="A2672" s="4">
        <v>2669</v>
      </c>
      <c r="B2672" s="5">
        <v>91812.491299214176</v>
      </c>
      <c r="C2672" s="19">
        <v>14.033444677371007</v>
      </c>
      <c r="D2672" s="5">
        <v>195514.18446715895</v>
      </c>
      <c r="E2672" s="6">
        <v>112.94943825234415</v>
      </c>
    </row>
    <row r="2673" spans="1:5" x14ac:dyDescent="0.3">
      <c r="A2673" s="4">
        <v>2670</v>
      </c>
      <c r="B2673" s="5">
        <v>41808.58924917705</v>
      </c>
      <c r="C2673" s="19">
        <v>-48.072670921785942</v>
      </c>
      <c r="D2673" s="5">
        <v>78437.236346771053</v>
      </c>
      <c r="E2673" s="6">
        <v>87.610339778003848</v>
      </c>
    </row>
    <row r="2674" spans="1:5" x14ac:dyDescent="0.3">
      <c r="A2674" s="4">
        <v>2671</v>
      </c>
      <c r="B2674" s="5">
        <v>66325.738144131697</v>
      </c>
      <c r="C2674" s="19">
        <v>-17.621749673517762</v>
      </c>
      <c r="D2674" s="5">
        <v>126996.25545968536</v>
      </c>
      <c r="E2674" s="6">
        <v>91.473565184772255</v>
      </c>
    </row>
    <row r="2675" spans="1:5" x14ac:dyDescent="0.3">
      <c r="A2675" s="4">
        <v>2672</v>
      </c>
      <c r="B2675" s="5">
        <v>71302.705271693645</v>
      </c>
      <c r="C2675" s="19">
        <v>-11.440230170334571</v>
      </c>
      <c r="D2675" s="5">
        <v>139662.37839297691</v>
      </c>
      <c r="E2675" s="6">
        <v>95.872481781446893</v>
      </c>
    </row>
    <row r="2676" spans="1:5" x14ac:dyDescent="0.3">
      <c r="A2676" s="4">
        <v>2673</v>
      </c>
      <c r="B2676" s="5">
        <v>59692.022667409219</v>
      </c>
      <c r="C2676" s="19">
        <v>-25.860992679733052</v>
      </c>
      <c r="D2676" s="5">
        <v>118661.01580778537</v>
      </c>
      <c r="E2676" s="6">
        <v>98.788733410724532</v>
      </c>
    </row>
    <row r="2677" spans="1:5" x14ac:dyDescent="0.3">
      <c r="A2677" s="4">
        <v>2674</v>
      </c>
      <c r="B2677" s="5">
        <v>80323.734295112721</v>
      </c>
      <c r="C2677" s="19">
        <v>-0.23588314175304673</v>
      </c>
      <c r="D2677" s="5">
        <v>165142.78481889903</v>
      </c>
      <c r="E2677" s="6">
        <v>105.59649805642452</v>
      </c>
    </row>
    <row r="2678" spans="1:5" x14ac:dyDescent="0.3">
      <c r="A2678" s="4">
        <v>2675</v>
      </c>
      <c r="B2678" s="5">
        <v>87600.820723479948</v>
      </c>
      <c r="C2678" s="19">
        <v>8.8024429171409047</v>
      </c>
      <c r="D2678" s="5">
        <v>142615.87401448711</v>
      </c>
      <c r="E2678" s="6">
        <v>62.801983858881002</v>
      </c>
    </row>
    <row r="2679" spans="1:5" x14ac:dyDescent="0.3">
      <c r="A2679" s="4">
        <v>2676</v>
      </c>
      <c r="B2679" s="5">
        <v>63666.06537494262</v>
      </c>
      <c r="C2679" s="19">
        <v>-20.925130763535396</v>
      </c>
      <c r="D2679" s="5">
        <v>117386.94344683015</v>
      </c>
      <c r="E2679" s="6">
        <v>84.379139429324184</v>
      </c>
    </row>
    <row r="2680" spans="1:5" x14ac:dyDescent="0.3">
      <c r="A2680" s="4">
        <v>2677</v>
      </c>
      <c r="B2680" s="5">
        <v>59389.562545428911</v>
      </c>
      <c r="C2680" s="19">
        <v>-26.236655828601858</v>
      </c>
      <c r="D2680" s="5">
        <v>101684.55736038345</v>
      </c>
      <c r="E2680" s="6">
        <v>71.21620871108756</v>
      </c>
    </row>
    <row r="2681" spans="1:5" x14ac:dyDescent="0.3">
      <c r="A2681" s="4">
        <v>2678</v>
      </c>
      <c r="B2681" s="5">
        <v>79752.863106225821</v>
      </c>
      <c r="C2681" s="19">
        <v>-0.94491964881923196</v>
      </c>
      <c r="D2681" s="5">
        <v>151933.25046353359</v>
      </c>
      <c r="E2681" s="6">
        <v>90.505073480770236</v>
      </c>
    </row>
    <row r="2682" spans="1:5" x14ac:dyDescent="0.3">
      <c r="A2682" s="4">
        <v>2679</v>
      </c>
      <c r="B2682" s="5">
        <v>47481.448656795998</v>
      </c>
      <c r="C2682" s="19">
        <v>-41.026835542883035</v>
      </c>
      <c r="D2682" s="5">
        <v>99928.245734128141</v>
      </c>
      <c r="E2682" s="6">
        <v>110.45744930072907</v>
      </c>
    </row>
    <row r="2683" spans="1:5" x14ac:dyDescent="0.3">
      <c r="A2683" s="4">
        <v>2680</v>
      </c>
      <c r="B2683" s="5">
        <v>59152.231323470762</v>
      </c>
      <c r="C2683" s="19">
        <v>-26.531427230471099</v>
      </c>
      <c r="D2683" s="5">
        <v>97914.850211059398</v>
      </c>
      <c r="E2683" s="6">
        <v>65.53027336469755</v>
      </c>
    </row>
    <row r="2684" spans="1:5" x14ac:dyDescent="0.3">
      <c r="A2684" s="4">
        <v>2681</v>
      </c>
      <c r="B2684" s="5">
        <v>156992.71409695997</v>
      </c>
      <c r="C2684" s="19">
        <v>94.988935866935094</v>
      </c>
      <c r="D2684" s="5">
        <v>325066.44701643585</v>
      </c>
      <c r="E2684" s="6">
        <v>107.05830132707443</v>
      </c>
    </row>
    <row r="2685" spans="1:5" x14ac:dyDescent="0.3">
      <c r="A2685" s="4">
        <v>2682</v>
      </c>
      <c r="B2685" s="5">
        <v>29523.701080363455</v>
      </c>
      <c r="C2685" s="19">
        <v>-63.33081385574296</v>
      </c>
      <c r="D2685" s="5">
        <v>62718.863056109745</v>
      </c>
      <c r="E2685" s="6">
        <v>112.43563903248148</v>
      </c>
    </row>
    <row r="2686" spans="1:5" x14ac:dyDescent="0.3">
      <c r="A2686" s="4">
        <v>2683</v>
      </c>
      <c r="B2686" s="5">
        <v>36804.725424454235</v>
      </c>
      <c r="C2686" s="19">
        <v>-54.287596805563929</v>
      </c>
      <c r="D2686" s="5">
        <v>77953.306174014069</v>
      </c>
      <c r="E2686" s="6">
        <v>111.80243915695512</v>
      </c>
    </row>
    <row r="2687" spans="1:5" x14ac:dyDescent="0.3">
      <c r="A2687" s="4">
        <v>2684</v>
      </c>
      <c r="B2687" s="5">
        <v>106425.85604175889</v>
      </c>
      <c r="C2687" s="19">
        <v>32.183614619807578</v>
      </c>
      <c r="D2687" s="5">
        <v>182949.03582460355</v>
      </c>
      <c r="E2687" s="6">
        <v>71.902808799413222</v>
      </c>
    </row>
    <row r="2688" spans="1:5" x14ac:dyDescent="0.3">
      <c r="A2688" s="4">
        <v>2685</v>
      </c>
      <c r="B2688" s="5">
        <v>76548.131125661108</v>
      </c>
      <c r="C2688" s="19">
        <v>-4.9252781146465905</v>
      </c>
      <c r="D2688" s="5">
        <v>161976.14059079008</v>
      </c>
      <c r="E2688" s="6">
        <v>111.60038554682762</v>
      </c>
    </row>
    <row r="2689" spans="1:5" x14ac:dyDescent="0.3">
      <c r="A2689" s="4">
        <v>2686</v>
      </c>
      <c r="B2689" s="5">
        <v>47260.278079805001</v>
      </c>
      <c r="C2689" s="19">
        <v>-41.301535013496142</v>
      </c>
      <c r="D2689" s="5">
        <v>86298.272766291819</v>
      </c>
      <c r="E2689" s="6">
        <v>82.602126505828394</v>
      </c>
    </row>
    <row r="2690" spans="1:5" x14ac:dyDescent="0.3">
      <c r="A2690" s="4">
        <v>2687</v>
      </c>
      <c r="B2690" s="5">
        <v>165954.3495211319</v>
      </c>
      <c r="C2690" s="19">
        <v>106.1195145376592</v>
      </c>
      <c r="D2690" s="5">
        <v>269284.03469312651</v>
      </c>
      <c r="E2690" s="6">
        <v>62.263921054287927</v>
      </c>
    </row>
    <row r="2691" spans="1:5" x14ac:dyDescent="0.3">
      <c r="A2691" s="4">
        <v>2688</v>
      </c>
      <c r="B2691" s="5">
        <v>87168.605673444676</v>
      </c>
      <c r="C2691" s="19">
        <v>8.2656208540482066</v>
      </c>
      <c r="D2691" s="5">
        <v>156021.51416016731</v>
      </c>
      <c r="E2691" s="6">
        <v>78.988195296667698</v>
      </c>
    </row>
    <row r="2692" spans="1:5" x14ac:dyDescent="0.3">
      <c r="A2692" s="4">
        <v>2689</v>
      </c>
      <c r="B2692" s="5">
        <v>40263.15663747974</v>
      </c>
      <c r="C2692" s="19">
        <v>-49.992137453352534</v>
      </c>
      <c r="D2692" s="5">
        <v>80328.137966308306</v>
      </c>
      <c r="E2692" s="6">
        <v>99.507799871640714</v>
      </c>
    </row>
    <row r="2693" spans="1:5" x14ac:dyDescent="0.3">
      <c r="A2693" s="4">
        <v>2690</v>
      </c>
      <c r="B2693" s="5">
        <v>42488.615638849282</v>
      </c>
      <c r="C2693" s="19">
        <v>-47.22806088464926</v>
      </c>
      <c r="D2693" s="5">
        <v>68789.663833894068</v>
      </c>
      <c r="E2693" s="6">
        <v>61.901400644827163</v>
      </c>
    </row>
    <row r="2694" spans="1:5" x14ac:dyDescent="0.3">
      <c r="A2694" s="4">
        <v>2691</v>
      </c>
      <c r="B2694" s="5">
        <v>88558.661304040143</v>
      </c>
      <c r="C2694" s="19">
        <v>9.9921052311400729</v>
      </c>
      <c r="D2694" s="5">
        <v>156493.3889862748</v>
      </c>
      <c r="E2694" s="6">
        <v>76.711556703641591</v>
      </c>
    </row>
    <row r="2695" spans="1:5" x14ac:dyDescent="0.3">
      <c r="A2695" s="4">
        <v>2692</v>
      </c>
      <c r="B2695" s="5">
        <v>58395.642278980682</v>
      </c>
      <c r="C2695" s="19">
        <v>-27.471130028287494</v>
      </c>
      <c r="D2695" s="5">
        <v>99102.151194737773</v>
      </c>
      <c r="E2695" s="6">
        <v>69.708127742280638</v>
      </c>
    </row>
    <row r="2696" spans="1:5" x14ac:dyDescent="0.3">
      <c r="A2696" s="4">
        <v>2693</v>
      </c>
      <c r="B2696" s="5">
        <v>81456.867397732174</v>
      </c>
      <c r="C2696" s="19">
        <v>1.1714969341077104</v>
      </c>
      <c r="D2696" s="5">
        <v>149615.51031580157</v>
      </c>
      <c r="E2696" s="6">
        <v>83.674520142382718</v>
      </c>
    </row>
    <row r="2697" spans="1:5" x14ac:dyDescent="0.3">
      <c r="A2697" s="4">
        <v>2694</v>
      </c>
      <c r="B2697" s="5">
        <v>49990.383007690187</v>
      </c>
      <c r="C2697" s="19">
        <v>-37.910675394592872</v>
      </c>
      <c r="D2697" s="5">
        <v>109165.84704474524</v>
      </c>
      <c r="E2697" s="6">
        <v>118.37369605260255</v>
      </c>
    </row>
    <row r="2698" spans="1:5" x14ac:dyDescent="0.3">
      <c r="A2698" s="4">
        <v>2695</v>
      </c>
      <c r="B2698" s="5">
        <v>63810.066064093597</v>
      </c>
      <c r="C2698" s="19">
        <v>-20.746278252428972</v>
      </c>
      <c r="D2698" s="5">
        <v>108947.97484946402</v>
      </c>
      <c r="E2698" s="6">
        <v>70.737912635965543</v>
      </c>
    </row>
    <row r="2699" spans="1:5" x14ac:dyDescent="0.3">
      <c r="A2699" s="4">
        <v>2696</v>
      </c>
      <c r="B2699" s="5">
        <v>43819.370876284389</v>
      </c>
      <c r="C2699" s="19">
        <v>-45.575229101089143</v>
      </c>
      <c r="D2699" s="5">
        <v>87572.920495507526</v>
      </c>
      <c r="E2699" s="6">
        <v>99.849789589067612</v>
      </c>
    </row>
    <row r="2700" spans="1:5" x14ac:dyDescent="0.3">
      <c r="A2700" s="4">
        <v>2697</v>
      </c>
      <c r="B2700" s="5">
        <v>57055.454500291482</v>
      </c>
      <c r="C2700" s="19">
        <v>-29.13567726751214</v>
      </c>
      <c r="D2700" s="5">
        <v>104140.80337196015</v>
      </c>
      <c r="E2700" s="6">
        <v>82.525587227472045</v>
      </c>
    </row>
    <row r="2701" spans="1:5" x14ac:dyDescent="0.3">
      <c r="A2701" s="4">
        <v>2698</v>
      </c>
      <c r="B2701" s="5">
        <v>60417.327052343309</v>
      </c>
      <c r="C2701" s="19">
        <v>-24.960146223186193</v>
      </c>
      <c r="D2701" s="5">
        <v>122048.61763020152</v>
      </c>
      <c r="E2701" s="6">
        <v>102.0092969761194</v>
      </c>
    </row>
    <row r="2702" spans="1:5" x14ac:dyDescent="0.3">
      <c r="A2702" s="4">
        <v>2699</v>
      </c>
      <c r="B2702" s="5">
        <v>67438.738524098415</v>
      </c>
      <c r="C2702" s="19">
        <v>-16.239374950222199</v>
      </c>
      <c r="D2702" s="5">
        <v>135064.81807896032</v>
      </c>
      <c r="E2702" s="6">
        <v>100.27779438771167</v>
      </c>
    </row>
    <row r="2703" spans="1:5" x14ac:dyDescent="0.3">
      <c r="A2703" s="4">
        <v>2700</v>
      </c>
      <c r="B2703" s="5">
        <v>52233.393686571224</v>
      </c>
      <c r="C2703" s="19">
        <v>-35.124799196904696</v>
      </c>
      <c r="D2703" s="5">
        <v>106282.9186136944</v>
      </c>
      <c r="E2703" s="6">
        <v>103.4769543243729</v>
      </c>
    </row>
    <row r="2704" spans="1:5" x14ac:dyDescent="0.3">
      <c r="A2704" s="4">
        <v>2701</v>
      </c>
      <c r="B2704" s="5">
        <v>27136.561472721849</v>
      </c>
      <c r="C2704" s="19">
        <v>-66.295701841387782</v>
      </c>
      <c r="D2704" s="5">
        <v>56259.634919369841</v>
      </c>
      <c r="E2704" s="6">
        <v>107.32042626669195</v>
      </c>
    </row>
    <row r="2705" spans="1:5" x14ac:dyDescent="0.3">
      <c r="A2705" s="4">
        <v>2702</v>
      </c>
      <c r="B2705" s="5">
        <v>121342.8187763645</v>
      </c>
      <c r="C2705" s="19">
        <v>50.710860974635686</v>
      </c>
      <c r="D2705" s="5">
        <v>229837.0331294316</v>
      </c>
      <c r="E2705" s="6">
        <v>89.411318648384579</v>
      </c>
    </row>
    <row r="2706" spans="1:5" x14ac:dyDescent="0.3">
      <c r="A2706" s="4">
        <v>2703</v>
      </c>
      <c r="B2706" s="5">
        <v>55734.785224207611</v>
      </c>
      <c r="C2706" s="19">
        <v>-30.775982031061261</v>
      </c>
      <c r="D2706" s="5">
        <v>102017.17767340467</v>
      </c>
      <c r="E2706" s="6">
        <v>83.040406925431114</v>
      </c>
    </row>
    <row r="2707" spans="1:5" x14ac:dyDescent="0.3">
      <c r="A2707" s="4">
        <v>2704</v>
      </c>
      <c r="B2707" s="5">
        <v>63638.321929239086</v>
      </c>
      <c r="C2707" s="19">
        <v>-20.959588827313269</v>
      </c>
      <c r="D2707" s="5">
        <v>114678.18698283013</v>
      </c>
      <c r="E2707" s="6">
        <v>80.203034125166667</v>
      </c>
    </row>
    <row r="2708" spans="1:5" x14ac:dyDescent="0.3">
      <c r="A2708" s="4">
        <v>2705</v>
      </c>
      <c r="B2708" s="5">
        <v>68662.536056338082</v>
      </c>
      <c r="C2708" s="19">
        <v>-14.719387351430729</v>
      </c>
      <c r="D2708" s="5">
        <v>123430.19289770404</v>
      </c>
      <c r="E2708" s="6">
        <v>79.763521691696198</v>
      </c>
    </row>
    <row r="2709" spans="1:5" x14ac:dyDescent="0.3">
      <c r="A2709" s="4">
        <v>2706</v>
      </c>
      <c r="B2709" s="5">
        <v>79383.344685675824</v>
      </c>
      <c r="C2709" s="19">
        <v>-1.4038709066576986</v>
      </c>
      <c r="D2709" s="5">
        <v>125022.91525207349</v>
      </c>
      <c r="E2709" s="6">
        <v>57.492627385644802</v>
      </c>
    </row>
    <row r="2710" spans="1:5" x14ac:dyDescent="0.3">
      <c r="A2710" s="4">
        <v>2707</v>
      </c>
      <c r="B2710" s="5">
        <v>69177.289682860268</v>
      </c>
      <c r="C2710" s="19">
        <v>-14.080050281258053</v>
      </c>
      <c r="D2710" s="5">
        <v>129520.92254893018</v>
      </c>
      <c r="E2710" s="6">
        <v>87.230409203240242</v>
      </c>
    </row>
    <row r="2711" spans="1:5" x14ac:dyDescent="0.3">
      <c r="A2711" s="4">
        <v>2708</v>
      </c>
      <c r="B2711" s="5">
        <v>46347.186283847201</v>
      </c>
      <c r="C2711" s="19">
        <v>-42.43561820115719</v>
      </c>
      <c r="D2711" s="5">
        <v>81466.595754686437</v>
      </c>
      <c r="E2711" s="6">
        <v>75.774631184199762</v>
      </c>
    </row>
    <row r="2712" spans="1:5" x14ac:dyDescent="0.3">
      <c r="A2712" s="4">
        <v>2709</v>
      </c>
      <c r="B2712" s="5">
        <v>42872.037948469042</v>
      </c>
      <c r="C2712" s="19">
        <v>-46.751840643662632</v>
      </c>
      <c r="D2712" s="5">
        <v>80138.751965374584</v>
      </c>
      <c r="E2712" s="6">
        <v>86.925454912358163</v>
      </c>
    </row>
    <row r="2713" spans="1:5" x14ac:dyDescent="0.3">
      <c r="A2713" s="4">
        <v>2710</v>
      </c>
      <c r="B2713" s="5">
        <v>274971.25243405066</v>
      </c>
      <c r="C2713" s="19">
        <v>241.52127514019557</v>
      </c>
      <c r="D2713" s="5">
        <v>620120.84049441328</v>
      </c>
      <c r="E2713" s="6">
        <v>125.52206276295867</v>
      </c>
    </row>
    <row r="2714" spans="1:5" x14ac:dyDescent="0.3">
      <c r="A2714" s="4">
        <v>2711</v>
      </c>
      <c r="B2714" s="5">
        <v>49636.080945059781</v>
      </c>
      <c r="C2714" s="19">
        <v>-38.350727549657186</v>
      </c>
      <c r="D2714" s="5">
        <v>97781.779315092514</v>
      </c>
      <c r="E2714" s="6">
        <v>96.997380641963474</v>
      </c>
    </row>
    <row r="2715" spans="1:5" x14ac:dyDescent="0.3">
      <c r="A2715" s="4">
        <v>2712</v>
      </c>
      <c r="B2715" s="5">
        <v>120106.86423604125</v>
      </c>
      <c r="C2715" s="19">
        <v>49.175774063222107</v>
      </c>
      <c r="D2715" s="5">
        <v>205411.36731841363</v>
      </c>
      <c r="E2715" s="6">
        <v>71.023836668258056</v>
      </c>
    </row>
    <row r="2716" spans="1:5" x14ac:dyDescent="0.3">
      <c r="A2716" s="4">
        <v>2713</v>
      </c>
      <c r="B2716" s="5">
        <v>56688.867079047501</v>
      </c>
      <c r="C2716" s="19">
        <v>-29.590988149814745</v>
      </c>
      <c r="D2716" s="5">
        <v>102007.08893054182</v>
      </c>
      <c r="E2716" s="6">
        <v>79.942013637884429</v>
      </c>
    </row>
    <row r="2717" spans="1:5" x14ac:dyDescent="0.3">
      <c r="A2717" s="4">
        <v>2714</v>
      </c>
      <c r="B2717" s="5">
        <v>70647.656606345437</v>
      </c>
      <c r="C2717" s="19">
        <v>-12.25381723984926</v>
      </c>
      <c r="D2717" s="5">
        <v>121791.54079115501</v>
      </c>
      <c r="E2717" s="6">
        <v>72.392895449862564</v>
      </c>
    </row>
    <row r="2718" spans="1:5" x14ac:dyDescent="0.3">
      <c r="A2718" s="4">
        <v>2715</v>
      </c>
      <c r="B2718" s="5">
        <v>30089.884788100739</v>
      </c>
      <c r="C2718" s="19">
        <v>-62.627599319247309</v>
      </c>
      <c r="D2718" s="5">
        <v>55984.400759137679</v>
      </c>
      <c r="E2718" s="6">
        <v>86.057212094335142</v>
      </c>
    </row>
    <row r="2719" spans="1:5" x14ac:dyDescent="0.3">
      <c r="A2719" s="4">
        <v>2716</v>
      </c>
      <c r="B2719" s="5">
        <v>47282.480029013721</v>
      </c>
      <c r="C2719" s="19">
        <v>-41.273959629025079</v>
      </c>
      <c r="D2719" s="5">
        <v>91407.183391271887</v>
      </c>
      <c r="E2719" s="6">
        <v>93.321465657431972</v>
      </c>
    </row>
    <row r="2720" spans="1:5" x14ac:dyDescent="0.3">
      <c r="A2720" s="4">
        <v>2717</v>
      </c>
      <c r="B2720" s="5">
        <v>48838.063233614499</v>
      </c>
      <c r="C2720" s="19">
        <v>-39.341885803419075</v>
      </c>
      <c r="D2720" s="5">
        <v>103217.35349376105</v>
      </c>
      <c r="E2720" s="6">
        <v>111.34612361679017</v>
      </c>
    </row>
    <row r="2721" spans="1:5" x14ac:dyDescent="0.3">
      <c r="A2721" s="4">
        <v>2718</v>
      </c>
      <c r="B2721" s="5">
        <v>68744.94426455877</v>
      </c>
      <c r="C2721" s="19">
        <v>-14.61703426504655</v>
      </c>
      <c r="D2721" s="5">
        <v>130611.8837055929</v>
      </c>
      <c r="E2721" s="6">
        <v>89.994893592385139</v>
      </c>
    </row>
    <row r="2722" spans="1:5" x14ac:dyDescent="0.3">
      <c r="A2722" s="4">
        <v>2719</v>
      </c>
      <c r="B2722" s="5">
        <v>72163.069876298308</v>
      </c>
      <c r="C2722" s="19">
        <v>-10.371635492712597</v>
      </c>
      <c r="D2722" s="5">
        <v>122120.02515733872</v>
      </c>
      <c r="E2722" s="6">
        <v>69.227868723817394</v>
      </c>
    </row>
    <row r="2723" spans="1:5" x14ac:dyDescent="0.3">
      <c r="A2723" s="4">
        <v>2720</v>
      </c>
      <c r="B2723" s="5">
        <v>60655.746001367239</v>
      </c>
      <c r="C2723" s="19">
        <v>-24.664023836691388</v>
      </c>
      <c r="D2723" s="5">
        <v>113901.21883391346</v>
      </c>
      <c r="E2723" s="6">
        <v>87.783064825129699</v>
      </c>
    </row>
    <row r="2724" spans="1:5" x14ac:dyDescent="0.3">
      <c r="A2724" s="4">
        <v>2721</v>
      </c>
      <c r="B2724" s="5">
        <v>77431.868913554194</v>
      </c>
      <c r="C2724" s="19">
        <v>-3.8276533500970307</v>
      </c>
      <c r="D2724" s="5">
        <v>121198.1774125107</v>
      </c>
      <c r="E2724" s="6">
        <v>56.522345531679861</v>
      </c>
    </row>
    <row r="2725" spans="1:5" x14ac:dyDescent="0.3">
      <c r="A2725" s="4">
        <v>2722</v>
      </c>
      <c r="B2725" s="5">
        <v>61109.60337754694</v>
      </c>
      <c r="C2725" s="19">
        <v>-24.100321455178427</v>
      </c>
      <c r="D2725" s="5">
        <v>101100.09458205098</v>
      </c>
      <c r="E2725" s="6">
        <v>65.440600158104544</v>
      </c>
    </row>
    <row r="2726" spans="1:5" x14ac:dyDescent="0.3">
      <c r="A2726" s="4">
        <v>2723</v>
      </c>
      <c r="B2726" s="5">
        <v>73451.517500304821</v>
      </c>
      <c r="C2726" s="19">
        <v>-8.771350838928301</v>
      </c>
      <c r="D2726" s="5">
        <v>126508.94788629228</v>
      </c>
      <c r="E2726" s="6">
        <v>72.234627944572111</v>
      </c>
    </row>
    <row r="2727" spans="1:5" x14ac:dyDescent="0.3">
      <c r="A2727" s="4">
        <v>2724</v>
      </c>
      <c r="B2727" s="5">
        <v>129018.66262531721</v>
      </c>
      <c r="C2727" s="19">
        <v>60.244453871588043</v>
      </c>
      <c r="D2727" s="5">
        <v>200354.09043804076</v>
      </c>
      <c r="E2727" s="6">
        <v>55.290782248990276</v>
      </c>
    </row>
    <row r="2728" spans="1:5" x14ac:dyDescent="0.3">
      <c r="A2728" s="4">
        <v>2725</v>
      </c>
      <c r="B2728" s="5">
        <v>42249.351035075859</v>
      </c>
      <c r="C2728" s="19">
        <v>-47.52523359580826</v>
      </c>
      <c r="D2728" s="5">
        <v>82066.063371971279</v>
      </c>
      <c r="E2728" s="6">
        <v>94.242186829897491</v>
      </c>
    </row>
    <row r="2729" spans="1:5" x14ac:dyDescent="0.3">
      <c r="A2729" s="4">
        <v>2726</v>
      </c>
      <c r="B2729" s="5">
        <v>34257.128925301935</v>
      </c>
      <c r="C2729" s="19">
        <v>-57.451776323355041</v>
      </c>
      <c r="D2729" s="5">
        <v>63606.358099816796</v>
      </c>
      <c r="E2729" s="6">
        <v>85.673347695048221</v>
      </c>
    </row>
    <row r="2730" spans="1:5" x14ac:dyDescent="0.3">
      <c r="A2730" s="4">
        <v>2727</v>
      </c>
      <c r="B2730" s="5">
        <v>63802.012670570555</v>
      </c>
      <c r="C2730" s="19">
        <v>-20.756280771604519</v>
      </c>
      <c r="D2730" s="5">
        <v>116248.49716278246</v>
      </c>
      <c r="E2730" s="6">
        <v>82.201927959560237</v>
      </c>
    </row>
    <row r="2731" spans="1:5" x14ac:dyDescent="0.3">
      <c r="A2731" s="4">
        <v>2728</v>
      </c>
      <c r="B2731" s="5">
        <v>45069.270110044061</v>
      </c>
      <c r="C2731" s="19">
        <v>-44.022822526468261</v>
      </c>
      <c r="D2731" s="5">
        <v>84030.316549634241</v>
      </c>
      <c r="E2731" s="6">
        <v>86.447032189472679</v>
      </c>
    </row>
    <row r="2732" spans="1:5" x14ac:dyDescent="0.3">
      <c r="A2732" s="4">
        <v>2729</v>
      </c>
      <c r="B2732" s="5">
        <v>83608.446652779487</v>
      </c>
      <c r="C2732" s="19">
        <v>3.8438129825833145</v>
      </c>
      <c r="D2732" s="5">
        <v>170553.82007188065</v>
      </c>
      <c r="E2732" s="6">
        <v>103.99113594369204</v>
      </c>
    </row>
    <row r="2733" spans="1:5" x14ac:dyDescent="0.3">
      <c r="A2733" s="4">
        <v>2730</v>
      </c>
      <c r="B2733" s="5">
        <v>49488.323236142496</v>
      </c>
      <c r="C2733" s="19">
        <v>-38.534246374678098</v>
      </c>
      <c r="D2733" s="5">
        <v>94750.709377583626</v>
      </c>
      <c r="E2733" s="6">
        <v>91.460738981725967</v>
      </c>
    </row>
    <row r="2734" spans="1:5" x14ac:dyDescent="0.3">
      <c r="A2734" s="4">
        <v>2731</v>
      </c>
      <c r="B2734" s="5">
        <v>48436.403966384511</v>
      </c>
      <c r="C2734" s="19">
        <v>-39.840756808667756</v>
      </c>
      <c r="D2734" s="5">
        <v>87633.82614652031</v>
      </c>
      <c r="E2734" s="6">
        <v>80.925541473597661</v>
      </c>
    </row>
    <row r="2735" spans="1:5" x14ac:dyDescent="0.3">
      <c r="A2735" s="4">
        <v>2732</v>
      </c>
      <c r="B2735" s="5">
        <v>33541.130584215265</v>
      </c>
      <c r="C2735" s="19">
        <v>-58.341064437227352</v>
      </c>
      <c r="D2735" s="5">
        <v>64617.634618226482</v>
      </c>
      <c r="E2735" s="6">
        <v>92.651927626542431</v>
      </c>
    </row>
    <row r="2736" spans="1:5" x14ac:dyDescent="0.3">
      <c r="A2736" s="4">
        <v>2733</v>
      </c>
      <c r="B2736" s="5">
        <v>79701.233627664231</v>
      </c>
      <c r="C2736" s="19">
        <v>-1.0090447717078752</v>
      </c>
      <c r="D2736" s="5">
        <v>159598.58549346789</v>
      </c>
      <c r="E2736" s="6">
        <v>100.24606675356573</v>
      </c>
    </row>
    <row r="2737" spans="1:5" x14ac:dyDescent="0.3">
      <c r="A2737" s="4">
        <v>2734</v>
      </c>
      <c r="B2737" s="5">
        <v>83001.651159023284</v>
      </c>
      <c r="C2737" s="19">
        <v>3.0901575769999767</v>
      </c>
      <c r="D2737" s="5">
        <v>172446.914514887</v>
      </c>
      <c r="E2737" s="6">
        <v>107.76323375121186</v>
      </c>
    </row>
    <row r="2738" spans="1:5" x14ac:dyDescent="0.3">
      <c r="A2738" s="4">
        <v>2735</v>
      </c>
      <c r="B2738" s="5">
        <v>36512.454916574687</v>
      </c>
      <c r="C2738" s="19">
        <v>-54.6506041950758</v>
      </c>
      <c r="D2738" s="5">
        <v>64599.560096937515</v>
      </c>
      <c r="E2738" s="6">
        <v>76.924724027835211</v>
      </c>
    </row>
    <row r="2739" spans="1:5" x14ac:dyDescent="0.3">
      <c r="A2739" s="4">
        <v>2736</v>
      </c>
      <c r="B2739" s="5">
        <v>50660.910501405859</v>
      </c>
      <c r="C2739" s="19">
        <v>-37.077863227345468</v>
      </c>
      <c r="D2739" s="5">
        <v>105421.40464208384</v>
      </c>
      <c r="E2739" s="6">
        <v>108.09220284179133</v>
      </c>
    </row>
    <row r="2740" spans="1:5" x14ac:dyDescent="0.3">
      <c r="A2740" s="4">
        <v>2737</v>
      </c>
      <c r="B2740" s="5">
        <v>93974.62348922815</v>
      </c>
      <c r="C2740" s="19">
        <v>16.718867738941189</v>
      </c>
      <c r="D2740" s="5">
        <v>162137.94763366357</v>
      </c>
      <c r="E2740" s="6">
        <v>72.533756043458524</v>
      </c>
    </row>
    <row r="2741" spans="1:5" x14ac:dyDescent="0.3">
      <c r="A2741" s="4">
        <v>2738</v>
      </c>
      <c r="B2741" s="5">
        <v>120727.32572078226</v>
      </c>
      <c r="C2741" s="19">
        <v>49.946402976493516</v>
      </c>
      <c r="D2741" s="5">
        <v>213649.67826763543</v>
      </c>
      <c r="E2741" s="6">
        <v>76.968782329995165</v>
      </c>
    </row>
    <row r="2742" spans="1:5" x14ac:dyDescent="0.3">
      <c r="A2742" s="4">
        <v>2739</v>
      </c>
      <c r="B2742" s="5">
        <v>64423.673100652341</v>
      </c>
      <c r="C2742" s="19">
        <v>-19.984162737786949</v>
      </c>
      <c r="D2742" s="5">
        <v>114115.81351572188</v>
      </c>
      <c r="E2742" s="6">
        <v>77.133354904233741</v>
      </c>
    </row>
    <row r="2743" spans="1:5" x14ac:dyDescent="0.3">
      <c r="A2743" s="4">
        <v>2740</v>
      </c>
      <c r="B2743" s="5">
        <v>58540.242888155728</v>
      </c>
      <c r="C2743" s="19">
        <v>-27.291532401283359</v>
      </c>
      <c r="D2743" s="5">
        <v>124617.6644954829</v>
      </c>
      <c r="E2743" s="6">
        <v>112.87520916777135</v>
      </c>
    </row>
    <row r="2744" spans="1:5" x14ac:dyDescent="0.3">
      <c r="A2744" s="4">
        <v>2741</v>
      </c>
      <c r="B2744" s="5">
        <v>113144.9371010062</v>
      </c>
      <c r="C2744" s="19">
        <v>40.528883846360067</v>
      </c>
      <c r="D2744" s="5">
        <v>215903.19716938387</v>
      </c>
      <c r="E2744" s="6">
        <v>90.820024917812987</v>
      </c>
    </row>
    <row r="2745" spans="1:5" x14ac:dyDescent="0.3">
      <c r="A2745" s="4">
        <v>2742</v>
      </c>
      <c r="B2745" s="5">
        <v>47104.840733031451</v>
      </c>
      <c r="C2745" s="19">
        <v>-41.49459214366739</v>
      </c>
      <c r="D2745" s="5">
        <v>95972.259389677347</v>
      </c>
      <c r="E2745" s="6">
        <v>103.74181909159597</v>
      </c>
    </row>
    <row r="2746" spans="1:5" x14ac:dyDescent="0.3">
      <c r="A2746" s="4">
        <v>2743</v>
      </c>
      <c r="B2746" s="5">
        <v>49720.226644457369</v>
      </c>
      <c r="C2746" s="19">
        <v>-38.246216455128426</v>
      </c>
      <c r="D2746" s="5">
        <v>99287.931889847227</v>
      </c>
      <c r="E2746" s="6">
        <v>99.693240740517595</v>
      </c>
    </row>
    <row r="2747" spans="1:5" x14ac:dyDescent="0.3">
      <c r="A2747" s="4">
        <v>2744</v>
      </c>
      <c r="B2747" s="5">
        <v>48957.090404559436</v>
      </c>
      <c r="C2747" s="19">
        <v>-39.194051035829347</v>
      </c>
      <c r="D2747" s="5">
        <v>91112.110438818534</v>
      </c>
      <c r="E2747" s="6">
        <v>86.106056724182181</v>
      </c>
    </row>
    <row r="2748" spans="1:5" x14ac:dyDescent="0.3">
      <c r="A2748" s="4">
        <v>2745</v>
      </c>
      <c r="B2748" s="5">
        <v>80184.518017218317</v>
      </c>
      <c r="C2748" s="19">
        <v>-0.40879329263571751</v>
      </c>
      <c r="D2748" s="5">
        <v>158511.81623628427</v>
      </c>
      <c r="E2748" s="6">
        <v>97.683817469909144</v>
      </c>
    </row>
    <row r="2749" spans="1:5" x14ac:dyDescent="0.3">
      <c r="A2749" s="4">
        <v>2746</v>
      </c>
      <c r="B2749" s="5">
        <v>90447.036085317566</v>
      </c>
      <c r="C2749" s="19">
        <v>12.337514642253447</v>
      </c>
      <c r="D2749" s="5">
        <v>161081.35448013098</v>
      </c>
      <c r="E2749" s="6">
        <v>78.094674465822109</v>
      </c>
    </row>
    <row r="2750" spans="1:5" x14ac:dyDescent="0.3">
      <c r="A2750" s="4">
        <v>2747</v>
      </c>
      <c r="B2750" s="5">
        <v>56405.223661649936</v>
      </c>
      <c r="C2750" s="19">
        <v>-29.943280473965871</v>
      </c>
      <c r="D2750" s="5">
        <v>97310.291183439142</v>
      </c>
      <c r="E2750" s="6">
        <v>72.519998798623092</v>
      </c>
    </row>
    <row r="2751" spans="1:5" x14ac:dyDescent="0.3">
      <c r="A2751" s="4">
        <v>2748</v>
      </c>
      <c r="B2751" s="5">
        <v>59479.186238362294</v>
      </c>
      <c r="C2751" s="19">
        <v>-26.125340927053287</v>
      </c>
      <c r="D2751" s="5">
        <v>100647.25937062482</v>
      </c>
      <c r="E2751" s="6">
        <v>69.214250792339101</v>
      </c>
    </row>
    <row r="2752" spans="1:5" x14ac:dyDescent="0.3">
      <c r="A2752" s="4">
        <v>2749</v>
      </c>
      <c r="B2752" s="5">
        <v>74768.475529575226</v>
      </c>
      <c r="C2752" s="19">
        <v>-7.1356555381243707</v>
      </c>
      <c r="D2752" s="5">
        <v>148089.28953488031</v>
      </c>
      <c r="E2752" s="6">
        <v>98.06380762210739</v>
      </c>
    </row>
    <row r="2753" spans="1:5" x14ac:dyDescent="0.3">
      <c r="A2753" s="4">
        <v>2750</v>
      </c>
      <c r="B2753" s="5">
        <v>63875.504795540823</v>
      </c>
      <c r="C2753" s="19">
        <v>-20.665001686935007</v>
      </c>
      <c r="D2753" s="5">
        <v>102339.33436005737</v>
      </c>
      <c r="E2753" s="6">
        <v>60.216869812043704</v>
      </c>
    </row>
    <row r="2754" spans="1:5" x14ac:dyDescent="0.3">
      <c r="A2754" s="4">
        <v>2751</v>
      </c>
      <c r="B2754" s="5">
        <v>100598.17819641027</v>
      </c>
      <c r="C2754" s="19">
        <v>24.945490811475736</v>
      </c>
      <c r="D2754" s="5">
        <v>193070.71877812588</v>
      </c>
      <c r="E2754" s="6">
        <v>91.922679157439646</v>
      </c>
    </row>
    <row r="2755" spans="1:5" x14ac:dyDescent="0.3">
      <c r="A2755" s="4">
        <v>2752</v>
      </c>
      <c r="B2755" s="5">
        <v>72444.299426799975</v>
      </c>
      <c r="C2755" s="19">
        <v>-10.022341252517547</v>
      </c>
      <c r="D2755" s="5">
        <v>112863.77359607551</v>
      </c>
      <c r="E2755" s="6">
        <v>55.793864374541513</v>
      </c>
    </row>
    <row r="2756" spans="1:5" x14ac:dyDescent="0.3">
      <c r="A2756" s="4">
        <v>2753</v>
      </c>
      <c r="B2756" s="5">
        <v>65992.321048004203</v>
      </c>
      <c r="C2756" s="19">
        <v>-18.0358621700607</v>
      </c>
      <c r="D2756" s="5">
        <v>130865.20687575838</v>
      </c>
      <c r="E2756" s="6">
        <v>98.303688667904666</v>
      </c>
    </row>
    <row r="2757" spans="1:5" x14ac:dyDescent="0.3">
      <c r="A2757" s="4">
        <v>2754</v>
      </c>
      <c r="B2757" s="5">
        <v>44569.565463713545</v>
      </c>
      <c r="C2757" s="19">
        <v>-44.643468381253435</v>
      </c>
      <c r="D2757" s="5">
        <v>77113.877054045399</v>
      </c>
      <c r="E2757" s="6">
        <v>73.019135932182039</v>
      </c>
    </row>
    <row r="2758" spans="1:5" x14ac:dyDescent="0.3">
      <c r="A2758" s="4">
        <v>2755</v>
      </c>
      <c r="B2758" s="5">
        <v>62317.392859757645</v>
      </c>
      <c r="C2758" s="19">
        <v>-22.600216260856534</v>
      </c>
      <c r="D2758" s="5">
        <v>102092.59165228902</v>
      </c>
      <c r="E2758" s="6">
        <v>63.826801743846353</v>
      </c>
    </row>
    <row r="2759" spans="1:5" x14ac:dyDescent="0.3">
      <c r="A2759" s="4">
        <v>2756</v>
      </c>
      <c r="B2759" s="5">
        <v>104448.63294799541</v>
      </c>
      <c r="C2759" s="19">
        <v>29.727853349342769</v>
      </c>
      <c r="D2759" s="5">
        <v>181791.82341569997</v>
      </c>
      <c r="E2759" s="6">
        <v>74.049021308123244</v>
      </c>
    </row>
    <row r="2760" spans="1:5" x14ac:dyDescent="0.3">
      <c r="A2760" s="4">
        <v>2757</v>
      </c>
      <c r="B2760" s="5">
        <v>63597.491509069805</v>
      </c>
      <c r="C2760" s="19">
        <v>-21.010301245565309</v>
      </c>
      <c r="D2760" s="5">
        <v>109389.88690130576</v>
      </c>
      <c r="E2760" s="6">
        <v>72.003461623490878</v>
      </c>
    </row>
    <row r="2761" spans="1:5" x14ac:dyDescent="0.3">
      <c r="A2761" s="4">
        <v>2758</v>
      </c>
      <c r="B2761" s="5">
        <v>73754.615261667757</v>
      </c>
      <c r="C2761" s="19">
        <v>-8.3948957257610211</v>
      </c>
      <c r="D2761" s="5">
        <v>129477.08280533468</v>
      </c>
      <c r="E2761" s="6">
        <v>75.551160216854086</v>
      </c>
    </row>
    <row r="2762" spans="1:5" x14ac:dyDescent="0.3">
      <c r="A2762" s="4">
        <v>2759</v>
      </c>
      <c r="B2762" s="5">
        <v>45977.50149424027</v>
      </c>
      <c r="C2762" s="19">
        <v>-42.894776093587325</v>
      </c>
      <c r="D2762" s="5">
        <v>75106.875056059027</v>
      </c>
      <c r="E2762" s="6">
        <v>63.355712283469501</v>
      </c>
    </row>
    <row r="2763" spans="1:5" x14ac:dyDescent="0.3">
      <c r="A2763" s="4">
        <v>2760</v>
      </c>
      <c r="B2763" s="5">
        <v>80030.739249569277</v>
      </c>
      <c r="C2763" s="19">
        <v>-0.59979042543447914</v>
      </c>
      <c r="D2763" s="5">
        <v>152244.15225197346</v>
      </c>
      <c r="E2763" s="6">
        <v>90.23209541675304</v>
      </c>
    </row>
    <row r="2764" spans="1:5" x14ac:dyDescent="0.3">
      <c r="A2764" s="4">
        <v>2761</v>
      </c>
      <c r="B2764" s="5">
        <v>100763.31459877273</v>
      </c>
      <c r="C2764" s="19">
        <v>25.150594414880313</v>
      </c>
      <c r="D2764" s="5">
        <v>171064.10470473257</v>
      </c>
      <c r="E2764" s="6">
        <v>69.768238952727017</v>
      </c>
    </row>
    <row r="2765" spans="1:5" x14ac:dyDescent="0.3">
      <c r="A2765" s="4">
        <v>2762</v>
      </c>
      <c r="B2765" s="5">
        <v>124948.7666275407</v>
      </c>
      <c r="C2765" s="19">
        <v>55.189539735856776</v>
      </c>
      <c r="D2765" s="5">
        <v>277726.47134425712</v>
      </c>
      <c r="E2765" s="6">
        <v>122.27227914312344</v>
      </c>
    </row>
    <row r="2766" spans="1:5" x14ac:dyDescent="0.3">
      <c r="A2766" s="4">
        <v>2763</v>
      </c>
      <c r="B2766" s="5">
        <v>184521.17085157277</v>
      </c>
      <c r="C2766" s="19">
        <v>129.17997791316486</v>
      </c>
      <c r="D2766" s="5">
        <v>336951.60643905599</v>
      </c>
      <c r="E2766" s="6">
        <v>82.608643162196799</v>
      </c>
    </row>
    <row r="2767" spans="1:5" x14ac:dyDescent="0.3">
      <c r="A2767" s="4">
        <v>2764</v>
      </c>
      <c r="B2767" s="5">
        <v>68774.105853239118</v>
      </c>
      <c r="C2767" s="19">
        <v>-14.580814831694639</v>
      </c>
      <c r="D2767" s="5">
        <v>124841.150552084</v>
      </c>
      <c r="E2767" s="6">
        <v>81.523480390264126</v>
      </c>
    </row>
    <row r="2768" spans="1:5" x14ac:dyDescent="0.3">
      <c r="A2768" s="4">
        <v>2765</v>
      </c>
      <c r="B2768" s="5">
        <v>41167.287503519045</v>
      </c>
      <c r="C2768" s="19">
        <v>-48.869183968106249</v>
      </c>
      <c r="D2768" s="5">
        <v>82912.222212079112</v>
      </c>
      <c r="E2768" s="6">
        <v>101.40317042989932</v>
      </c>
    </row>
    <row r="2769" spans="1:5" x14ac:dyDescent="0.3">
      <c r="A2769" s="4">
        <v>2766</v>
      </c>
      <c r="B2769" s="5">
        <v>49118.367692541164</v>
      </c>
      <c r="C2769" s="19">
        <v>-38.993740550441849</v>
      </c>
      <c r="D2769" s="5">
        <v>91156.358486000274</v>
      </c>
      <c r="E2769" s="6">
        <v>85.585072892890039</v>
      </c>
    </row>
    <row r="2770" spans="1:5" x14ac:dyDescent="0.3">
      <c r="A2770" s="4">
        <v>2767</v>
      </c>
      <c r="B2770" s="5">
        <v>72903.675519138385</v>
      </c>
      <c r="C2770" s="19">
        <v>-9.4517844854534623</v>
      </c>
      <c r="D2770" s="5">
        <v>141245.42724618677</v>
      </c>
      <c r="E2770" s="6">
        <v>93.742532513477414</v>
      </c>
    </row>
    <row r="2771" spans="1:5" x14ac:dyDescent="0.3">
      <c r="A2771" s="4">
        <v>2768</v>
      </c>
      <c r="B2771" s="5">
        <v>100920.76868647103</v>
      </c>
      <c r="C2771" s="19">
        <v>25.346156388471186</v>
      </c>
      <c r="D2771" s="5">
        <v>197071.74044065588</v>
      </c>
      <c r="E2771" s="6">
        <v>95.273721163277671</v>
      </c>
    </row>
    <row r="2772" spans="1:5" x14ac:dyDescent="0.3">
      <c r="A2772" s="4">
        <v>2769</v>
      </c>
      <c r="B2772" s="5">
        <v>89070.374829683802</v>
      </c>
      <c r="C2772" s="19">
        <v>10.627666418854497</v>
      </c>
      <c r="D2772" s="5">
        <v>165813.07742998056</v>
      </c>
      <c r="E2772" s="6">
        <v>86.159626864757854</v>
      </c>
    </row>
    <row r="2773" spans="1:5" x14ac:dyDescent="0.3">
      <c r="A2773" s="4">
        <v>2770</v>
      </c>
      <c r="B2773" s="5">
        <v>72824.152327371645</v>
      </c>
      <c r="C2773" s="19">
        <v>-9.5505543081712378</v>
      </c>
      <c r="D2773" s="5">
        <v>121353.78280110544</v>
      </c>
      <c r="E2773" s="6">
        <v>66.639471827389158</v>
      </c>
    </row>
    <row r="2774" spans="1:5" x14ac:dyDescent="0.3">
      <c r="A2774" s="4">
        <v>2771</v>
      </c>
      <c r="B2774" s="5">
        <v>70239.577899640339</v>
      </c>
      <c r="C2774" s="19">
        <v>-12.760661351871164</v>
      </c>
      <c r="D2774" s="5">
        <v>124460.32570574927</v>
      </c>
      <c r="E2774" s="6">
        <v>77.194011449756402</v>
      </c>
    </row>
    <row r="2775" spans="1:5" x14ac:dyDescent="0.3">
      <c r="A2775" s="4">
        <v>2772</v>
      </c>
      <c r="B2775" s="5">
        <v>93842.09134959722</v>
      </c>
      <c r="C2775" s="19">
        <v>16.554259457445763</v>
      </c>
      <c r="D2775" s="5">
        <v>145960.58942741313</v>
      </c>
      <c r="E2775" s="6">
        <v>55.538508709971978</v>
      </c>
    </row>
    <row r="2776" spans="1:5" x14ac:dyDescent="0.3">
      <c r="A2776" s="4">
        <v>2773</v>
      </c>
      <c r="B2776" s="5">
        <v>74619.386524989182</v>
      </c>
      <c r="C2776" s="19">
        <v>-7.320827866158262</v>
      </c>
      <c r="D2776" s="5">
        <v>120617.47857378304</v>
      </c>
      <c r="E2776" s="6">
        <v>61.643621303948429</v>
      </c>
    </row>
    <row r="2777" spans="1:5" x14ac:dyDescent="0.3">
      <c r="A2777" s="4">
        <v>2774</v>
      </c>
      <c r="B2777" s="5">
        <v>51564.376490818257</v>
      </c>
      <c r="C2777" s="19">
        <v>-35.95573553574642</v>
      </c>
      <c r="D2777" s="5">
        <v>109787.86997126108</v>
      </c>
      <c r="E2777" s="6">
        <v>112.91418115142014</v>
      </c>
    </row>
    <row r="2778" spans="1:5" x14ac:dyDescent="0.3">
      <c r="A2778" s="4">
        <v>2775</v>
      </c>
      <c r="B2778" s="5">
        <v>60242.781711838572</v>
      </c>
      <c r="C2778" s="19">
        <v>-25.176935966591294</v>
      </c>
      <c r="D2778" s="5">
        <v>110579.66423585379</v>
      </c>
      <c r="E2778" s="6">
        <v>83.556703547975943</v>
      </c>
    </row>
    <row r="2779" spans="1:5" x14ac:dyDescent="0.3">
      <c r="A2779" s="4">
        <v>2776</v>
      </c>
      <c r="B2779" s="5">
        <v>51734.948933616695</v>
      </c>
      <c r="C2779" s="19">
        <v>-35.743880232136917</v>
      </c>
      <c r="D2779" s="5">
        <v>95217.882699931826</v>
      </c>
      <c r="E2779" s="6">
        <v>84.049437880203428</v>
      </c>
    </row>
    <row r="2780" spans="1:5" x14ac:dyDescent="0.3">
      <c r="A2780" s="4">
        <v>2777</v>
      </c>
      <c r="B2780" s="5">
        <v>61930.239858827168</v>
      </c>
      <c r="C2780" s="19">
        <v>-23.081070115147508</v>
      </c>
      <c r="D2780" s="5">
        <v>120201.61575408324</v>
      </c>
      <c r="E2780" s="6">
        <v>94.091958997879459</v>
      </c>
    </row>
    <row r="2781" spans="1:5" x14ac:dyDescent="0.3">
      <c r="A2781" s="4">
        <v>2778</v>
      </c>
      <c r="B2781" s="5">
        <v>33015.836384216636</v>
      </c>
      <c r="C2781" s="19">
        <v>-58.993493167209976</v>
      </c>
      <c r="D2781" s="5">
        <v>62527.776988131838</v>
      </c>
      <c r="E2781" s="6">
        <v>89.387226967309275</v>
      </c>
    </row>
    <row r="2782" spans="1:5" x14ac:dyDescent="0.3">
      <c r="A2782" s="4">
        <v>2779</v>
      </c>
      <c r="B2782" s="5">
        <v>86635.572491097351</v>
      </c>
      <c r="C2782" s="19">
        <v>7.6035801115492951</v>
      </c>
      <c r="D2782" s="5">
        <v>166060.95484863027</v>
      </c>
      <c r="E2782" s="6">
        <v>91.677563931022263</v>
      </c>
    </row>
    <row r="2783" spans="1:5" x14ac:dyDescent="0.3">
      <c r="A2783" s="4">
        <v>2780</v>
      </c>
      <c r="B2783" s="5">
        <v>39806.126019368341</v>
      </c>
      <c r="C2783" s="19">
        <v>-50.559781081891309</v>
      </c>
      <c r="D2783" s="5">
        <v>75857.918702932642</v>
      </c>
      <c r="E2783" s="6">
        <v>90.56845337328906</v>
      </c>
    </row>
    <row r="2784" spans="1:5" x14ac:dyDescent="0.3">
      <c r="A2784" s="4">
        <v>2781</v>
      </c>
      <c r="B2784" s="5">
        <v>84615.266581909411</v>
      </c>
      <c r="C2784" s="19">
        <v>5.0943088907527789</v>
      </c>
      <c r="D2784" s="5">
        <v>151829.89997195764</v>
      </c>
      <c r="E2784" s="6">
        <v>79.435586632564707</v>
      </c>
    </row>
    <row r="2785" spans="1:5" x14ac:dyDescent="0.3">
      <c r="A2785" s="4">
        <v>2782</v>
      </c>
      <c r="B2785" s="5">
        <v>71448.303495798638</v>
      </c>
      <c r="C2785" s="19">
        <v>-11.259393480264903</v>
      </c>
      <c r="D2785" s="5">
        <v>111471.54106089259</v>
      </c>
      <c r="E2785" s="6">
        <v>56.017057938188032</v>
      </c>
    </row>
    <row r="2786" spans="1:5" x14ac:dyDescent="0.3">
      <c r="A2786" s="4">
        <v>2783</v>
      </c>
      <c r="B2786" s="5">
        <v>72203.362423518178</v>
      </c>
      <c r="C2786" s="19">
        <v>-10.321591126316598</v>
      </c>
      <c r="D2786" s="5">
        <v>118172.27648721656</v>
      </c>
      <c r="E2786" s="6">
        <v>63.665891062055749</v>
      </c>
    </row>
    <row r="2787" spans="1:5" x14ac:dyDescent="0.3">
      <c r="A2787" s="4">
        <v>2784</v>
      </c>
      <c r="B2787" s="5">
        <v>70290.434233130392</v>
      </c>
      <c r="C2787" s="19">
        <v>-12.697496494786172</v>
      </c>
      <c r="D2787" s="5">
        <v>109834.39662792328</v>
      </c>
      <c r="E2787" s="6">
        <v>56.257957183247008</v>
      </c>
    </row>
    <row r="2788" spans="1:5" x14ac:dyDescent="0.3">
      <c r="A2788" s="4">
        <v>2785</v>
      </c>
      <c r="B2788" s="5">
        <v>152293.20451644715</v>
      </c>
      <c r="C2788" s="19">
        <v>89.152025679913834</v>
      </c>
      <c r="D2788" s="5">
        <v>269130.9693336825</v>
      </c>
      <c r="E2788" s="6">
        <v>76.718961419330611</v>
      </c>
    </row>
    <row r="2789" spans="1:5" x14ac:dyDescent="0.3">
      <c r="A2789" s="4">
        <v>2786</v>
      </c>
      <c r="B2789" s="5">
        <v>64021.709023694035</v>
      </c>
      <c r="C2789" s="19">
        <v>-20.483412324455202</v>
      </c>
      <c r="D2789" s="5">
        <v>138522.33396243921</v>
      </c>
      <c r="E2789" s="6">
        <v>116.36775411786174</v>
      </c>
    </row>
    <row r="2790" spans="1:5" x14ac:dyDescent="0.3">
      <c r="A2790" s="4">
        <v>2787</v>
      </c>
      <c r="B2790" s="5">
        <v>49054.305591418684</v>
      </c>
      <c r="C2790" s="19">
        <v>-39.073307306129365</v>
      </c>
      <c r="D2790" s="5">
        <v>84164.887221437501</v>
      </c>
      <c r="E2790" s="6">
        <v>71.574923356291251</v>
      </c>
    </row>
    <row r="2791" spans="1:5" x14ac:dyDescent="0.3">
      <c r="A2791" s="4">
        <v>2788</v>
      </c>
      <c r="B2791" s="5">
        <v>185949.262720342</v>
      </c>
      <c r="C2791" s="19">
        <v>130.9537042635454</v>
      </c>
      <c r="D2791" s="5">
        <v>382992.4895349124</v>
      </c>
      <c r="E2791" s="6">
        <v>105.96612427063674</v>
      </c>
    </row>
    <row r="2792" spans="1:5" x14ac:dyDescent="0.3">
      <c r="A2792" s="4">
        <v>2789</v>
      </c>
      <c r="B2792" s="5">
        <v>38296.587651728929</v>
      </c>
      <c r="C2792" s="19">
        <v>-52.434666051231545</v>
      </c>
      <c r="D2792" s="5">
        <v>69946.111946739416</v>
      </c>
      <c r="E2792" s="6">
        <v>82.643196785136141</v>
      </c>
    </row>
    <row r="2793" spans="1:5" x14ac:dyDescent="0.3">
      <c r="A2793" s="4">
        <v>2790</v>
      </c>
      <c r="B2793" s="5">
        <v>44959.795865387969</v>
      </c>
      <c r="C2793" s="19">
        <v>-44.158792317124565</v>
      </c>
      <c r="D2793" s="5">
        <v>105318.62920626887</v>
      </c>
      <c r="E2793" s="6">
        <v>134.25068370327676</v>
      </c>
    </row>
    <row r="2794" spans="1:5" x14ac:dyDescent="0.3">
      <c r="A2794" s="4">
        <v>2791</v>
      </c>
      <c r="B2794" s="5">
        <v>61212.838160731655</v>
      </c>
      <c r="C2794" s="19">
        <v>-23.972101234046324</v>
      </c>
      <c r="D2794" s="5">
        <v>118508.53646010184</v>
      </c>
      <c r="E2794" s="6">
        <v>93.600787058629905</v>
      </c>
    </row>
    <row r="2795" spans="1:5" x14ac:dyDescent="0.3">
      <c r="A2795" s="4">
        <v>2792</v>
      </c>
      <c r="B2795" s="5">
        <v>32094.082630772435</v>
      </c>
      <c r="C2795" s="19">
        <v>-60.138334725936296</v>
      </c>
      <c r="D2795" s="5">
        <v>61828.320569692834</v>
      </c>
      <c r="E2795" s="6">
        <v>92.647103458288697</v>
      </c>
    </row>
    <row r="2796" spans="1:5" x14ac:dyDescent="0.3">
      <c r="A2796" s="4">
        <v>2793</v>
      </c>
      <c r="B2796" s="5">
        <v>48582.397179663953</v>
      </c>
      <c r="C2796" s="19">
        <v>-39.659429532017377</v>
      </c>
      <c r="D2796" s="5">
        <v>104320.80624591942</v>
      </c>
      <c r="E2796" s="6">
        <v>114.72963933856055</v>
      </c>
    </row>
    <row r="2797" spans="1:5" x14ac:dyDescent="0.3">
      <c r="A2797" s="4">
        <v>2794</v>
      </c>
      <c r="B2797" s="5">
        <v>42172.166549679663</v>
      </c>
      <c r="C2797" s="19">
        <v>-47.621098685850249</v>
      </c>
      <c r="D2797" s="5">
        <v>80460.645498112281</v>
      </c>
      <c r="E2797" s="6">
        <v>90.790874837620734</v>
      </c>
    </row>
    <row r="2798" spans="1:5" x14ac:dyDescent="0.3">
      <c r="A2798" s="4">
        <v>2795</v>
      </c>
      <c r="B2798" s="5">
        <v>74021.753733670179</v>
      </c>
      <c r="C2798" s="19">
        <v>-8.0631029627369966</v>
      </c>
      <c r="D2798" s="5">
        <v>137130.01978610957</v>
      </c>
      <c r="E2798" s="6">
        <v>85.256377847385977</v>
      </c>
    </row>
    <row r="2799" spans="1:5" x14ac:dyDescent="0.3">
      <c r="A2799" s="4">
        <v>2796</v>
      </c>
      <c r="B2799" s="5">
        <v>65412.964103795566</v>
      </c>
      <c r="C2799" s="19">
        <v>-18.755438200631083</v>
      </c>
      <c r="D2799" s="5">
        <v>115972.11461863022</v>
      </c>
      <c r="E2799" s="6">
        <v>77.292248115539792</v>
      </c>
    </row>
    <row r="2800" spans="1:5" x14ac:dyDescent="0.3">
      <c r="A2800" s="4">
        <v>2797</v>
      </c>
      <c r="B2800" s="5">
        <v>101262.39556233041</v>
      </c>
      <c r="C2800" s="19">
        <v>25.770465639830615</v>
      </c>
      <c r="D2800" s="5">
        <v>191554.05303646543</v>
      </c>
      <c r="E2800" s="6">
        <v>89.16602947493719</v>
      </c>
    </row>
    <row r="2801" spans="1:5" x14ac:dyDescent="0.3">
      <c r="A2801" s="4">
        <v>2798</v>
      </c>
      <c r="B2801" s="5">
        <v>58361.131890008677</v>
      </c>
      <c r="C2801" s="19">
        <v>-27.513992807370663</v>
      </c>
      <c r="D2801" s="5">
        <v>101547.85186350044</v>
      </c>
      <c r="E2801" s="6">
        <v>73.99911306532637</v>
      </c>
    </row>
    <row r="2802" spans="1:5" x14ac:dyDescent="0.3">
      <c r="A2802" s="4">
        <v>2799</v>
      </c>
      <c r="B2802" s="5">
        <v>33351.107144523747</v>
      </c>
      <c r="C2802" s="19">
        <v>-58.57707837270425</v>
      </c>
      <c r="D2802" s="5">
        <v>69379.015083338134</v>
      </c>
      <c r="E2802" s="6">
        <v>108.02612273916721</v>
      </c>
    </row>
    <row r="2803" spans="1:5" x14ac:dyDescent="0.3">
      <c r="A2803" s="4">
        <v>2800</v>
      </c>
      <c r="B2803" s="5">
        <v>45742.114549611077</v>
      </c>
      <c r="C2803" s="19">
        <v>-43.187132653662268</v>
      </c>
      <c r="D2803" s="5">
        <v>77724.270406198397</v>
      </c>
      <c r="E2803" s="6">
        <v>69.918402705017158</v>
      </c>
    </row>
    <row r="2804" spans="1:5" x14ac:dyDescent="0.3">
      <c r="A2804" s="4">
        <v>2801</v>
      </c>
      <c r="B2804" s="5">
        <v>83534.857337629626</v>
      </c>
      <c r="C2804" s="19">
        <v>3.7524131852437663</v>
      </c>
      <c r="D2804" s="5">
        <v>141923.2884671186</v>
      </c>
      <c r="E2804" s="6">
        <v>69.897086067311648</v>
      </c>
    </row>
    <row r="2805" spans="1:5" x14ac:dyDescent="0.3">
      <c r="A2805" s="4">
        <v>2802</v>
      </c>
      <c r="B2805" s="5">
        <v>56073.428196599823</v>
      </c>
      <c r="C2805" s="19">
        <v>-30.355378863548715</v>
      </c>
      <c r="D2805" s="5">
        <v>106786.56935094946</v>
      </c>
      <c r="E2805" s="6">
        <v>90.440593317290308</v>
      </c>
    </row>
    <row r="2806" spans="1:5" x14ac:dyDescent="0.3">
      <c r="A2806" s="4">
        <v>2803</v>
      </c>
      <c r="B2806" s="5">
        <v>22404.152553169264</v>
      </c>
      <c r="C2806" s="19">
        <v>-72.173473842582965</v>
      </c>
      <c r="D2806" s="5">
        <v>46572.714297774299</v>
      </c>
      <c r="E2806" s="6">
        <v>107.87536679750995</v>
      </c>
    </row>
    <row r="2807" spans="1:5" x14ac:dyDescent="0.3">
      <c r="A2807" s="4">
        <v>2804</v>
      </c>
      <c r="B2807" s="5">
        <v>70060.843704258092</v>
      </c>
      <c r="C2807" s="19">
        <v>-12.982653759360169</v>
      </c>
      <c r="D2807" s="5">
        <v>141108.36266003016</v>
      </c>
      <c r="E2807" s="6">
        <v>101.40831197477289</v>
      </c>
    </row>
    <row r="2808" spans="1:5" x14ac:dyDescent="0.3">
      <c r="A2808" s="4">
        <v>2805</v>
      </c>
      <c r="B2808" s="5">
        <v>36807.406463615291</v>
      </c>
      <c r="C2808" s="19">
        <v>-54.284266886872871</v>
      </c>
      <c r="D2808" s="5">
        <v>72537.407759691807</v>
      </c>
      <c r="E2808" s="6">
        <v>97.072857690737308</v>
      </c>
    </row>
    <row r="2809" spans="1:5" x14ac:dyDescent="0.3">
      <c r="A2809" s="4">
        <v>2806</v>
      </c>
      <c r="B2809" s="5">
        <v>53037.076144807666</v>
      </c>
      <c r="C2809" s="19">
        <v>-34.126605183839473</v>
      </c>
      <c r="D2809" s="5">
        <v>106925.25809872409</v>
      </c>
      <c r="E2809" s="6">
        <v>101.60473742327912</v>
      </c>
    </row>
    <row r="2810" spans="1:5" x14ac:dyDescent="0.3">
      <c r="A2810" s="4">
        <v>2807</v>
      </c>
      <c r="B2810" s="5">
        <v>71189.404164195017</v>
      </c>
      <c r="C2810" s="19">
        <v>-11.580953021778862</v>
      </c>
      <c r="D2810" s="5">
        <v>144400.65618226933</v>
      </c>
      <c r="E2810" s="6">
        <v>102.84009660934372</v>
      </c>
    </row>
    <row r="2811" spans="1:5" x14ac:dyDescent="0.3">
      <c r="A2811" s="4">
        <v>2808</v>
      </c>
      <c r="B2811" s="5">
        <v>47213.036573174417</v>
      </c>
      <c r="C2811" s="19">
        <v>-41.360210163866242</v>
      </c>
      <c r="D2811" s="5">
        <v>89082.09562763694</v>
      </c>
      <c r="E2811" s="6">
        <v>88.68113998465364</v>
      </c>
    </row>
    <row r="2812" spans="1:5" x14ac:dyDescent="0.3">
      <c r="A2812" s="4">
        <v>2809</v>
      </c>
      <c r="B2812" s="5">
        <v>44655.147717541498</v>
      </c>
      <c r="C2812" s="19">
        <v>-44.537173049657973</v>
      </c>
      <c r="D2812" s="5">
        <v>83492.280119793781</v>
      </c>
      <c r="E2812" s="6">
        <v>86.971232629012732</v>
      </c>
    </row>
    <row r="2813" spans="1:5" x14ac:dyDescent="0.3">
      <c r="A2813" s="4">
        <v>2810</v>
      </c>
      <c r="B2813" s="5">
        <v>77238.977309427341</v>
      </c>
      <c r="C2813" s="19">
        <v>-4.0672296186054657</v>
      </c>
      <c r="D2813" s="5">
        <v>135440.30425866644</v>
      </c>
      <c r="E2813" s="6">
        <v>75.352275465894053</v>
      </c>
    </row>
    <row r="2814" spans="1:5" x14ac:dyDescent="0.3">
      <c r="A2814" s="4">
        <v>2811</v>
      </c>
      <c r="B2814" s="5">
        <v>71021.672764359973</v>
      </c>
      <c r="C2814" s="19">
        <v>-11.789279677913409</v>
      </c>
      <c r="D2814" s="5">
        <v>126416.2150412382</v>
      </c>
      <c r="E2814" s="6">
        <v>77.996673579724899</v>
      </c>
    </row>
    <row r="2815" spans="1:5" x14ac:dyDescent="0.3">
      <c r="A2815" s="4">
        <v>2812</v>
      </c>
      <c r="B2815" s="5">
        <v>47920.985570578894</v>
      </c>
      <c r="C2815" s="19">
        <v>-40.48091953916434</v>
      </c>
      <c r="D2815" s="5">
        <v>97583.043273165371</v>
      </c>
      <c r="E2815" s="6">
        <v>103.63321436585085</v>
      </c>
    </row>
    <row r="2816" spans="1:5" x14ac:dyDescent="0.3">
      <c r="A2816" s="4">
        <v>2813</v>
      </c>
      <c r="B2816" s="5">
        <v>50108.29432509256</v>
      </c>
      <c r="C2816" s="19">
        <v>-37.764226545426801</v>
      </c>
      <c r="D2816" s="5">
        <v>94954.758922778376</v>
      </c>
      <c r="E2816" s="6">
        <v>89.499084336678777</v>
      </c>
    </row>
    <row r="2817" spans="1:5" x14ac:dyDescent="0.3">
      <c r="A2817" s="4">
        <v>2814</v>
      </c>
      <c r="B2817" s="5">
        <v>48153.28147318351</v>
      </c>
      <c r="C2817" s="19">
        <v>-40.192402131744096</v>
      </c>
      <c r="D2817" s="5">
        <v>85553.630716548243</v>
      </c>
      <c r="E2817" s="6">
        <v>77.669367692403128</v>
      </c>
    </row>
    <row r="2818" spans="1:5" x14ac:dyDescent="0.3">
      <c r="A2818" s="4">
        <v>2815</v>
      </c>
      <c r="B2818" s="5">
        <v>43415.081621627905</v>
      </c>
      <c r="C2818" s="19">
        <v>-46.077366617478702</v>
      </c>
      <c r="D2818" s="5">
        <v>93118.630590529006</v>
      </c>
      <c r="E2818" s="6">
        <v>114.48452268748125</v>
      </c>
    </row>
    <row r="2819" spans="1:5" x14ac:dyDescent="0.3">
      <c r="A2819" s="4">
        <v>2816</v>
      </c>
      <c r="B2819" s="5">
        <v>85506.200494964709</v>
      </c>
      <c r="C2819" s="19">
        <v>6.200871425413621</v>
      </c>
      <c r="D2819" s="5">
        <v>147975.2337242832</v>
      </c>
      <c r="E2819" s="6">
        <v>73.057898570755896</v>
      </c>
    </row>
    <row r="2820" spans="1:5" x14ac:dyDescent="0.3">
      <c r="A2820" s="4">
        <v>2817</v>
      </c>
      <c r="B2820" s="5">
        <v>59146.965111222038</v>
      </c>
      <c r="C2820" s="19">
        <v>-26.537967999756702</v>
      </c>
      <c r="D2820" s="5">
        <v>112047.64141147942</v>
      </c>
      <c r="E2820" s="6">
        <v>89.439375631160587</v>
      </c>
    </row>
    <row r="2821" spans="1:5" x14ac:dyDescent="0.3">
      <c r="A2821" s="4">
        <v>2818</v>
      </c>
      <c r="B2821" s="5">
        <v>34687.629303334375</v>
      </c>
      <c r="C2821" s="19">
        <v>-56.917083926413511</v>
      </c>
      <c r="D2821" s="5">
        <v>69948.937805733018</v>
      </c>
      <c r="E2821" s="6">
        <v>101.65384377827493</v>
      </c>
    </row>
    <row r="2822" spans="1:5" x14ac:dyDescent="0.3">
      <c r="A2822" s="4">
        <v>2819</v>
      </c>
      <c r="B2822" s="5">
        <v>77436.1326280598</v>
      </c>
      <c r="C2822" s="19">
        <v>-3.8223577084548639</v>
      </c>
      <c r="D2822" s="5">
        <v>134020.94390924185</v>
      </c>
      <c r="E2822" s="6">
        <v>73.072878720544395</v>
      </c>
    </row>
    <row r="2823" spans="1:5" x14ac:dyDescent="0.3">
      <c r="A2823" s="4">
        <v>2820</v>
      </c>
      <c r="B2823" s="5">
        <v>88047.717584522819</v>
      </c>
      <c r="C2823" s="19">
        <v>9.3575001621746097</v>
      </c>
      <c r="D2823" s="5">
        <v>171434.45060681339</v>
      </c>
      <c r="E2823" s="6">
        <v>94.706297119220778</v>
      </c>
    </row>
    <row r="2824" spans="1:5" x14ac:dyDescent="0.3">
      <c r="A2824" s="4">
        <v>2821</v>
      </c>
      <c r="B2824" s="5">
        <v>77025.913175135691</v>
      </c>
      <c r="C2824" s="19">
        <v>-4.3318606816195109</v>
      </c>
      <c r="D2824" s="5">
        <v>157819.13651799381</v>
      </c>
      <c r="E2824" s="6">
        <v>104.89096462791242</v>
      </c>
    </row>
    <row r="2825" spans="1:5" x14ac:dyDescent="0.3">
      <c r="A2825" s="4">
        <v>2822</v>
      </c>
      <c r="B2825" s="5">
        <v>59954.935547376495</v>
      </c>
      <c r="C2825" s="19">
        <v>-25.534448209275212</v>
      </c>
      <c r="D2825" s="5">
        <v>102338.58930660658</v>
      </c>
      <c r="E2825" s="6">
        <v>70.69251825938241</v>
      </c>
    </row>
    <row r="2826" spans="1:5" x14ac:dyDescent="0.3">
      <c r="A2826" s="4">
        <v>2823</v>
      </c>
      <c r="B2826" s="5">
        <v>118693.31363441558</v>
      </c>
      <c r="C2826" s="19">
        <v>47.420108335736025</v>
      </c>
      <c r="D2826" s="5">
        <v>174778.65731995011</v>
      </c>
      <c r="E2826" s="6">
        <v>47.252319417319207</v>
      </c>
    </row>
    <row r="2827" spans="1:5" x14ac:dyDescent="0.3">
      <c r="A2827" s="4">
        <v>2824</v>
      </c>
      <c r="B2827" s="5">
        <v>51555.289845403066</v>
      </c>
      <c r="C2827" s="19">
        <v>-35.967021379999125</v>
      </c>
      <c r="D2827" s="5">
        <v>114028.41817028436</v>
      </c>
      <c r="E2827" s="6">
        <v>121.17695102135426</v>
      </c>
    </row>
    <row r="2828" spans="1:5" x14ac:dyDescent="0.3">
      <c r="A2828" s="4">
        <v>2825</v>
      </c>
      <c r="B2828" s="5">
        <v>62837.502934326782</v>
      </c>
      <c r="C2828" s="19">
        <v>-21.954226346246401</v>
      </c>
      <c r="D2828" s="5">
        <v>121348.52319674089</v>
      </c>
      <c r="E2828" s="6">
        <v>93.114808084537671</v>
      </c>
    </row>
    <row r="2829" spans="1:5" x14ac:dyDescent="0.3">
      <c r="A2829" s="4">
        <v>2826</v>
      </c>
      <c r="B2829" s="5">
        <v>68702.479370687826</v>
      </c>
      <c r="C2829" s="19">
        <v>-14.66977674112403</v>
      </c>
      <c r="D2829" s="5">
        <v>119512.79810838081</v>
      </c>
      <c r="E2829" s="6">
        <v>73.957037945520497</v>
      </c>
    </row>
    <row r="2830" spans="1:5" x14ac:dyDescent="0.3">
      <c r="A2830" s="4">
        <v>2827</v>
      </c>
      <c r="B2830" s="5">
        <v>54833.374893607688</v>
      </c>
      <c r="C2830" s="19">
        <v>-31.895556542236264</v>
      </c>
      <c r="D2830" s="5">
        <v>100949.49335848112</v>
      </c>
      <c r="E2830" s="6">
        <v>84.102279960611199</v>
      </c>
    </row>
    <row r="2831" spans="1:5" x14ac:dyDescent="0.3">
      <c r="A2831" s="4">
        <v>2828</v>
      </c>
      <c r="B2831" s="5">
        <v>65620.877886485701</v>
      </c>
      <c r="C2831" s="19">
        <v>-18.497204005037901</v>
      </c>
      <c r="D2831" s="5">
        <v>126100.36128755574</v>
      </c>
      <c r="E2831" s="6">
        <v>92.165001976490629</v>
      </c>
    </row>
    <row r="2832" spans="1:5" x14ac:dyDescent="0.3">
      <c r="A2832" s="4">
        <v>2829</v>
      </c>
      <c r="B2832" s="5">
        <v>142567.00072752062</v>
      </c>
      <c r="C2832" s="19">
        <v>77.071833693065045</v>
      </c>
      <c r="D2832" s="5">
        <v>272523.3680545736</v>
      </c>
      <c r="E2832" s="6">
        <v>91.154591640340712</v>
      </c>
    </row>
    <row r="2833" spans="1:5" x14ac:dyDescent="0.3">
      <c r="A2833" s="4">
        <v>2830</v>
      </c>
      <c r="B2833" s="5">
        <v>170274.98336427339</v>
      </c>
      <c r="C2833" s="19">
        <v>111.48585144183238</v>
      </c>
      <c r="D2833" s="5">
        <v>340857.42996197811</v>
      </c>
      <c r="E2833" s="6">
        <v>100.18056864687725</v>
      </c>
    </row>
    <row r="2834" spans="1:5" x14ac:dyDescent="0.3">
      <c r="A2834" s="4">
        <v>2831</v>
      </c>
      <c r="B2834" s="5">
        <v>80501.261153058804</v>
      </c>
      <c r="C2834" s="19">
        <v>-1.5390278005699753E-2</v>
      </c>
      <c r="D2834" s="5">
        <v>144866.8937919517</v>
      </c>
      <c r="E2834" s="6">
        <v>79.956054994608252</v>
      </c>
    </row>
    <row r="2835" spans="1:5" x14ac:dyDescent="0.3">
      <c r="A2835" s="4">
        <v>2832</v>
      </c>
      <c r="B2835" s="5">
        <v>57153.747681809604</v>
      </c>
      <c r="C2835" s="19">
        <v>-29.013594641083007</v>
      </c>
      <c r="D2835" s="5">
        <v>111636.93380117178</v>
      </c>
      <c r="E2835" s="6">
        <v>95.327407789047939</v>
      </c>
    </row>
    <row r="2836" spans="1:5" x14ac:dyDescent="0.3">
      <c r="A2836" s="4">
        <v>2833</v>
      </c>
      <c r="B2836" s="5">
        <v>198363.77253812217</v>
      </c>
      <c r="C2836" s="19">
        <v>146.37284057571549</v>
      </c>
      <c r="D2836" s="5">
        <v>308652.63001701079</v>
      </c>
      <c r="E2836" s="6">
        <v>55.599294199596329</v>
      </c>
    </row>
    <row r="2837" spans="1:5" x14ac:dyDescent="0.3">
      <c r="A2837" s="4">
        <v>2834</v>
      </c>
      <c r="B2837" s="5">
        <v>44279.29505393852</v>
      </c>
      <c r="C2837" s="19">
        <v>-45.00399159815084</v>
      </c>
      <c r="D2837" s="5">
        <v>88713.247146000635</v>
      </c>
      <c r="E2837" s="6">
        <v>100.3492761976793</v>
      </c>
    </row>
    <row r="2838" spans="1:5" x14ac:dyDescent="0.3">
      <c r="A2838" s="4">
        <v>2835</v>
      </c>
      <c r="B2838" s="5">
        <v>61413.940931884121</v>
      </c>
      <c r="C2838" s="19">
        <v>-23.722326487667374</v>
      </c>
      <c r="D2838" s="5">
        <v>118109.74602884658</v>
      </c>
      <c r="E2838" s="6">
        <v>92.317484005537636</v>
      </c>
    </row>
    <row r="2839" spans="1:5" x14ac:dyDescent="0.3">
      <c r="A2839" s="4">
        <v>2836</v>
      </c>
      <c r="B2839" s="5">
        <v>52776.938806101432</v>
      </c>
      <c r="C2839" s="19">
        <v>-34.449702361599307</v>
      </c>
      <c r="D2839" s="5">
        <v>107647.61024258245</v>
      </c>
      <c r="E2839" s="6">
        <v>103.96713541509446</v>
      </c>
    </row>
    <row r="2840" spans="1:5" x14ac:dyDescent="0.3">
      <c r="A2840" s="4">
        <v>2837</v>
      </c>
      <c r="B2840" s="5">
        <v>75996.630507133828</v>
      </c>
      <c r="C2840" s="19">
        <v>-5.610255881641403</v>
      </c>
      <c r="D2840" s="5">
        <v>132018.8616181454</v>
      </c>
      <c r="E2840" s="6">
        <v>73.716730251287572</v>
      </c>
    </row>
    <row r="2841" spans="1:5" x14ac:dyDescent="0.3">
      <c r="A2841" s="4">
        <v>2838</v>
      </c>
      <c r="B2841" s="5">
        <v>28836.895178359016</v>
      </c>
      <c r="C2841" s="19">
        <v>-64.183844219281141</v>
      </c>
      <c r="D2841" s="5">
        <v>53181.119867758636</v>
      </c>
      <c r="E2841" s="6">
        <v>84.420408434501041</v>
      </c>
    </row>
    <row r="2842" spans="1:5" x14ac:dyDescent="0.3">
      <c r="A2842" s="4">
        <v>2839</v>
      </c>
      <c r="B2842" s="5">
        <v>36997.818217947046</v>
      </c>
      <c r="C2842" s="19">
        <v>-54.047770654756164</v>
      </c>
      <c r="D2842" s="5">
        <v>82740.088727839626</v>
      </c>
      <c r="E2842" s="6">
        <v>123.63504853295306</v>
      </c>
    </row>
    <row r="2843" spans="1:5" x14ac:dyDescent="0.3">
      <c r="A2843" s="4">
        <v>2840</v>
      </c>
      <c r="B2843" s="5">
        <v>44418.008479802273</v>
      </c>
      <c r="C2843" s="19">
        <v>-44.831706002254165</v>
      </c>
      <c r="D2843" s="5">
        <v>78516.938744209692</v>
      </c>
      <c r="E2843" s="6">
        <v>76.768255559933223</v>
      </c>
    </row>
    <row r="2844" spans="1:5" x14ac:dyDescent="0.3">
      <c r="A2844" s="4">
        <v>2841</v>
      </c>
      <c r="B2844" s="5">
        <v>57161.934254974229</v>
      </c>
      <c r="C2844" s="19">
        <v>-29.003426709412107</v>
      </c>
      <c r="D2844" s="5">
        <v>108465.77357568603</v>
      </c>
      <c r="E2844" s="6">
        <v>89.751755236042158</v>
      </c>
    </row>
    <row r="2845" spans="1:5" x14ac:dyDescent="0.3">
      <c r="A2845" s="4">
        <v>2842</v>
      </c>
      <c r="B2845" s="5">
        <v>66518.734681173184</v>
      </c>
      <c r="C2845" s="19">
        <v>-17.38204307566583</v>
      </c>
      <c r="D2845" s="5">
        <v>135364.26003468191</v>
      </c>
      <c r="E2845" s="6">
        <v>103.49794788413811</v>
      </c>
    </row>
    <row r="2846" spans="1:5" x14ac:dyDescent="0.3">
      <c r="A2846" s="4">
        <v>2843</v>
      </c>
      <c r="B2846" s="5">
        <v>64022.252547070166</v>
      </c>
      <c r="C2846" s="19">
        <v>-20.482737254625754</v>
      </c>
      <c r="D2846" s="5">
        <v>108054.66722382713</v>
      </c>
      <c r="E2846" s="6">
        <v>68.776734533643037</v>
      </c>
    </row>
    <row r="2847" spans="1:5" x14ac:dyDescent="0.3">
      <c r="A2847" s="4">
        <v>2844</v>
      </c>
      <c r="B2847" s="5">
        <v>70051.11998946323</v>
      </c>
      <c r="C2847" s="19">
        <v>-12.99473085995321</v>
      </c>
      <c r="D2847" s="5">
        <v>130491.67053281232</v>
      </c>
      <c r="E2847" s="6">
        <v>86.28063413181728</v>
      </c>
    </row>
    <row r="2848" spans="1:5" x14ac:dyDescent="0.3">
      <c r="A2848" s="4">
        <v>2845</v>
      </c>
      <c r="B2848" s="5">
        <v>78094.890206606346</v>
      </c>
      <c r="C2848" s="19">
        <v>-3.0041640746042018</v>
      </c>
      <c r="D2848" s="5">
        <v>154920.32704299188</v>
      </c>
      <c r="E2848" s="6">
        <v>98.37447319938299</v>
      </c>
    </row>
    <row r="2849" spans="1:5" x14ac:dyDescent="0.3">
      <c r="A2849" s="4">
        <v>2846</v>
      </c>
      <c r="B2849" s="5">
        <v>62680.854682384204</v>
      </c>
      <c r="C2849" s="19">
        <v>-22.148787451374083</v>
      </c>
      <c r="D2849" s="5">
        <v>120467.22714539614</v>
      </c>
      <c r="E2849" s="6">
        <v>92.191423929725374</v>
      </c>
    </row>
    <row r="2850" spans="1:5" x14ac:dyDescent="0.3">
      <c r="A2850" s="4">
        <v>2847</v>
      </c>
      <c r="B2850" s="5">
        <v>106053.0532551553</v>
      </c>
      <c r="C2850" s="19">
        <v>31.720584095963233</v>
      </c>
      <c r="D2850" s="5">
        <v>222917.51218716681</v>
      </c>
      <c r="E2850" s="6">
        <v>110.19433702756751</v>
      </c>
    </row>
    <row r="2851" spans="1:5" x14ac:dyDescent="0.3">
      <c r="A2851" s="4">
        <v>2848</v>
      </c>
      <c r="B2851" s="5">
        <v>80223.585201867478</v>
      </c>
      <c r="C2851" s="19">
        <v>-0.3602708576560143</v>
      </c>
      <c r="D2851" s="5">
        <v>136642.02482311998</v>
      </c>
      <c r="E2851" s="6">
        <v>70.326499967916135</v>
      </c>
    </row>
    <row r="2852" spans="1:5" x14ac:dyDescent="0.3">
      <c r="A2852" s="4">
        <v>2849</v>
      </c>
      <c r="B2852" s="5">
        <v>83709.809164976497</v>
      </c>
      <c r="C2852" s="19">
        <v>3.9697077956246871</v>
      </c>
      <c r="D2852" s="5">
        <v>146761.59148601131</v>
      </c>
      <c r="E2852" s="6">
        <v>75.321856482519806</v>
      </c>
    </row>
    <row r="2853" spans="1:5" x14ac:dyDescent="0.3">
      <c r="A2853" s="4">
        <v>2850</v>
      </c>
      <c r="B2853" s="5">
        <v>132840.24100646857</v>
      </c>
      <c r="C2853" s="19">
        <v>64.990951224405109</v>
      </c>
      <c r="D2853" s="5">
        <v>259775.36814841401</v>
      </c>
      <c r="E2853" s="6">
        <v>95.554725119600178</v>
      </c>
    </row>
    <row r="2854" spans="1:5" x14ac:dyDescent="0.3">
      <c r="A2854" s="4">
        <v>2851</v>
      </c>
      <c r="B2854" s="5">
        <v>73853.875046417044</v>
      </c>
      <c r="C2854" s="19">
        <v>-8.2716125535834202</v>
      </c>
      <c r="D2854" s="5">
        <v>132041.65236961533</v>
      </c>
      <c r="E2854" s="6">
        <v>78.787710579339759</v>
      </c>
    </row>
    <row r="2855" spans="1:5" x14ac:dyDescent="0.3">
      <c r="A2855" s="4">
        <v>2852</v>
      </c>
      <c r="B2855" s="5">
        <v>89542.682291187113</v>
      </c>
      <c r="C2855" s="19">
        <v>11.214284274659358</v>
      </c>
      <c r="D2855" s="5">
        <v>146601.34310652447</v>
      </c>
      <c r="E2855" s="6">
        <v>63.722304665596475</v>
      </c>
    </row>
    <row r="2856" spans="1:5" x14ac:dyDescent="0.3">
      <c r="A2856" s="4">
        <v>2853</v>
      </c>
      <c r="B2856" s="5">
        <v>32410.63827580044</v>
      </c>
      <c r="C2856" s="19">
        <v>-59.745164579654464</v>
      </c>
      <c r="D2856" s="5">
        <v>53725.831336936724</v>
      </c>
      <c r="E2856" s="6">
        <v>65.766039162059258</v>
      </c>
    </row>
    <row r="2857" spans="1:5" x14ac:dyDescent="0.3">
      <c r="A2857" s="4">
        <v>2854</v>
      </c>
      <c r="B2857" s="5">
        <v>76481.965428166906</v>
      </c>
      <c r="C2857" s="19">
        <v>-5.0074575904235346</v>
      </c>
      <c r="D2857" s="5">
        <v>143476.505950989</v>
      </c>
      <c r="E2857" s="6">
        <v>87.59521299925855</v>
      </c>
    </row>
    <row r="2858" spans="1:5" x14ac:dyDescent="0.3">
      <c r="A2858" s="4">
        <v>2855</v>
      </c>
      <c r="B2858" s="5">
        <v>68068.421548874961</v>
      </c>
      <c r="C2858" s="19">
        <v>-15.457292650155576</v>
      </c>
      <c r="D2858" s="5">
        <v>108799.14900234649</v>
      </c>
      <c r="E2858" s="6">
        <v>59.837919738194259</v>
      </c>
    </row>
    <row r="2859" spans="1:5" x14ac:dyDescent="0.3">
      <c r="A2859" s="4">
        <v>2856</v>
      </c>
      <c r="B2859" s="5">
        <v>97470.387778913049</v>
      </c>
      <c r="C2859" s="19">
        <v>21.060695719991998</v>
      </c>
      <c r="D2859" s="5">
        <v>184142.21871170704</v>
      </c>
      <c r="E2859" s="6">
        <v>88.92119227984108</v>
      </c>
    </row>
    <row r="2860" spans="1:5" x14ac:dyDescent="0.3">
      <c r="A2860" s="4">
        <v>2857</v>
      </c>
      <c r="B2860" s="5">
        <v>31504.710048776444</v>
      </c>
      <c r="C2860" s="19">
        <v>-60.870350432866303</v>
      </c>
      <c r="D2860" s="5">
        <v>67895.55191234652</v>
      </c>
      <c r="E2860" s="6">
        <v>115.50921055051387</v>
      </c>
    </row>
    <row r="2861" spans="1:5" x14ac:dyDescent="0.3">
      <c r="A2861" s="4">
        <v>2858</v>
      </c>
      <c r="B2861" s="5">
        <v>79226.849571682877</v>
      </c>
      <c r="C2861" s="19">
        <v>-1.5982418105648271</v>
      </c>
      <c r="D2861" s="5">
        <v>154082.76570455026</v>
      </c>
      <c r="E2861" s="6">
        <v>94.483014959643498</v>
      </c>
    </row>
    <row r="2862" spans="1:5" x14ac:dyDescent="0.3">
      <c r="A2862" s="4">
        <v>2859</v>
      </c>
      <c r="B2862" s="5">
        <v>102596.90598985487</v>
      </c>
      <c r="C2862" s="19">
        <v>27.427961464800006</v>
      </c>
      <c r="D2862" s="5">
        <v>204588.09359417175</v>
      </c>
      <c r="E2862" s="6">
        <v>99.409613399454855</v>
      </c>
    </row>
    <row r="2863" spans="1:5" x14ac:dyDescent="0.3">
      <c r="A2863" s="4">
        <v>2860</v>
      </c>
      <c r="B2863" s="5">
        <v>68486.748520945257</v>
      </c>
      <c r="C2863" s="19">
        <v>-14.937719932417567</v>
      </c>
      <c r="D2863" s="5">
        <v>125470.23326927821</v>
      </c>
      <c r="E2863" s="6">
        <v>83.203664911768627</v>
      </c>
    </row>
    <row r="2864" spans="1:5" x14ac:dyDescent="0.3">
      <c r="A2864" s="4">
        <v>2861</v>
      </c>
      <c r="B2864" s="5">
        <v>77691.569671863122</v>
      </c>
      <c r="C2864" s="19">
        <v>-3.5050984162723999</v>
      </c>
      <c r="D2864" s="5">
        <v>146410.6259203341</v>
      </c>
      <c r="E2864" s="6">
        <v>88.451110640075484</v>
      </c>
    </row>
    <row r="2865" spans="1:5" x14ac:dyDescent="0.3">
      <c r="A2865" s="4">
        <v>2862</v>
      </c>
      <c r="B2865" s="5">
        <v>50607.262356588988</v>
      </c>
      <c r="C2865" s="19">
        <v>-37.144495584963131</v>
      </c>
      <c r="D2865" s="5">
        <v>107801.33618159541</v>
      </c>
      <c r="E2865" s="6">
        <v>113.01554591514046</v>
      </c>
    </row>
    <row r="2866" spans="1:5" x14ac:dyDescent="0.3">
      <c r="A2866" s="4">
        <v>2863</v>
      </c>
      <c r="B2866" s="5">
        <v>73159.895629712031</v>
      </c>
      <c r="C2866" s="19">
        <v>-9.1335526044656099</v>
      </c>
      <c r="D2866" s="5">
        <v>143812.867952172</v>
      </c>
      <c r="E2866" s="6">
        <v>96.573364019078866</v>
      </c>
    </row>
    <row r="2867" spans="1:5" x14ac:dyDescent="0.3">
      <c r="A2867" s="4">
        <v>2864</v>
      </c>
      <c r="B2867" s="5">
        <v>78227.365464623828</v>
      </c>
      <c r="C2867" s="19">
        <v>-2.8396264415165096</v>
      </c>
      <c r="D2867" s="5">
        <v>144982.34715305021</v>
      </c>
      <c r="E2867" s="6">
        <v>85.334564563106099</v>
      </c>
    </row>
    <row r="2868" spans="1:5" x14ac:dyDescent="0.3">
      <c r="A2868" s="4">
        <v>2865</v>
      </c>
      <c r="B2868" s="5">
        <v>32908.233943594809</v>
      </c>
      <c r="C2868" s="19">
        <v>-59.127138129743571</v>
      </c>
      <c r="D2868" s="5">
        <v>69482.446882632605</v>
      </c>
      <c r="E2868" s="6">
        <v>111.14000526958247</v>
      </c>
    </row>
    <row r="2869" spans="1:5" x14ac:dyDescent="0.3">
      <c r="A2869" s="4">
        <v>2866</v>
      </c>
      <c r="B2869" s="5">
        <v>20776.764696203718</v>
      </c>
      <c r="C2869" s="19">
        <v>-74.194730869049181</v>
      </c>
      <c r="D2869" s="5">
        <v>43193.184038525651</v>
      </c>
      <c r="E2869" s="6">
        <v>107.89177078382089</v>
      </c>
    </row>
    <row r="2870" spans="1:5" x14ac:dyDescent="0.3">
      <c r="A2870" s="4">
        <v>2867</v>
      </c>
      <c r="B2870" s="5">
        <v>61579.814223456182</v>
      </c>
      <c r="C2870" s="19">
        <v>-23.516307649159963</v>
      </c>
      <c r="D2870" s="5">
        <v>125196.36039987809</v>
      </c>
      <c r="E2870" s="6">
        <v>103.3074668682419</v>
      </c>
    </row>
    <row r="2871" spans="1:5" x14ac:dyDescent="0.3">
      <c r="A2871" s="4">
        <v>2868</v>
      </c>
      <c r="B2871" s="5">
        <v>182658.82758623632</v>
      </c>
      <c r="C2871" s="19">
        <v>126.86690030561023</v>
      </c>
      <c r="D2871" s="5">
        <v>356293.08596153429</v>
      </c>
      <c r="E2871" s="6">
        <v>95.059330375545244</v>
      </c>
    </row>
    <row r="2872" spans="1:5" x14ac:dyDescent="0.3">
      <c r="A2872" s="4">
        <v>2869</v>
      </c>
      <c r="B2872" s="5">
        <v>116437.4731286309</v>
      </c>
      <c r="C2872" s="19">
        <v>44.618297167373008</v>
      </c>
      <c r="D2872" s="5">
        <v>219592.08183487644</v>
      </c>
      <c r="E2872" s="6">
        <v>88.59227698310535</v>
      </c>
    </row>
    <row r="2873" spans="1:5" x14ac:dyDescent="0.3">
      <c r="A2873" s="4">
        <v>2870</v>
      </c>
      <c r="B2873" s="5">
        <v>72734.119627227454</v>
      </c>
      <c r="C2873" s="19">
        <v>-9.6623772070574887</v>
      </c>
      <c r="D2873" s="5">
        <v>119671.48649568898</v>
      </c>
      <c r="E2873" s="6">
        <v>64.53280401140772</v>
      </c>
    </row>
    <row r="2874" spans="1:5" x14ac:dyDescent="0.3">
      <c r="A2874" s="4">
        <v>2871</v>
      </c>
      <c r="B2874" s="5">
        <v>53887.498589900548</v>
      </c>
      <c r="C2874" s="19">
        <v>-33.070358920693756</v>
      </c>
      <c r="D2874" s="5">
        <v>102784.47948329718</v>
      </c>
      <c r="E2874" s="6">
        <v>90.739006583914389</v>
      </c>
    </row>
    <row r="2875" spans="1:5" x14ac:dyDescent="0.3">
      <c r="A2875" s="4">
        <v>2872</v>
      </c>
      <c r="B2875" s="5">
        <v>69095.636513149118</v>
      </c>
      <c r="C2875" s="19">
        <v>-14.181465590648182</v>
      </c>
      <c r="D2875" s="5">
        <v>136550.56439283999</v>
      </c>
      <c r="E2875" s="6">
        <v>97.625452609954593</v>
      </c>
    </row>
    <row r="2876" spans="1:5" x14ac:dyDescent="0.3">
      <c r="A2876" s="4">
        <v>2873</v>
      </c>
      <c r="B2876" s="5">
        <v>64991.443857038335</v>
      </c>
      <c r="C2876" s="19">
        <v>-19.27897704658541</v>
      </c>
      <c r="D2876" s="5">
        <v>128909.89476203623</v>
      </c>
      <c r="E2876" s="6">
        <v>98.349024289411531</v>
      </c>
    </row>
    <row r="2877" spans="1:5" x14ac:dyDescent="0.3">
      <c r="A2877" s="4">
        <v>2874</v>
      </c>
      <c r="B2877" s="5">
        <v>69392.380804817352</v>
      </c>
      <c r="C2877" s="19">
        <v>-13.81290164811235</v>
      </c>
      <c r="D2877" s="5">
        <v>148821.7219461682</v>
      </c>
      <c r="E2877" s="6">
        <v>114.46406683287729</v>
      </c>
    </row>
    <row r="2878" spans="1:5" x14ac:dyDescent="0.3">
      <c r="A2878" s="4">
        <v>2875</v>
      </c>
      <c r="B2878" s="5">
        <v>83862.032440037976</v>
      </c>
      <c r="C2878" s="19">
        <v>4.158772967146505</v>
      </c>
      <c r="D2878" s="5">
        <v>166324.41561906628</v>
      </c>
      <c r="E2878" s="6">
        <v>98.331009611518255</v>
      </c>
    </row>
    <row r="2879" spans="1:5" x14ac:dyDescent="0.3">
      <c r="A2879" s="4">
        <v>2876</v>
      </c>
      <c r="B2879" s="5">
        <v>90289.695423613914</v>
      </c>
      <c r="C2879" s="19">
        <v>12.142093546627018</v>
      </c>
      <c r="D2879" s="5">
        <v>174213.32284845013</v>
      </c>
      <c r="E2879" s="6">
        <v>92.949286218200328</v>
      </c>
    </row>
    <row r="2880" spans="1:5" x14ac:dyDescent="0.3">
      <c r="A2880" s="4">
        <v>2877</v>
      </c>
      <c r="B2880" s="5">
        <v>41736.110211398307</v>
      </c>
      <c r="C2880" s="19">
        <v>-48.162691726448301</v>
      </c>
      <c r="D2880" s="5">
        <v>68403.560256000303</v>
      </c>
      <c r="E2880" s="6">
        <v>63.895389171459016</v>
      </c>
    </row>
    <row r="2881" spans="1:5" x14ac:dyDescent="0.3">
      <c r="A2881" s="4">
        <v>2878</v>
      </c>
      <c r="B2881" s="5">
        <v>101110.18653884935</v>
      </c>
      <c r="C2881" s="19">
        <v>25.581418169133425</v>
      </c>
      <c r="D2881" s="5">
        <v>167266.23797971322</v>
      </c>
      <c r="E2881" s="6">
        <v>65.429660161337821</v>
      </c>
    </row>
    <row r="2882" spans="1:5" x14ac:dyDescent="0.3">
      <c r="A2882" s="4">
        <v>2879</v>
      </c>
      <c r="B2882" s="5">
        <v>47545.428104213679</v>
      </c>
      <c r="C2882" s="19">
        <v>-40.947371445194882</v>
      </c>
      <c r="D2882" s="5">
        <v>96270.688286671939</v>
      </c>
      <c r="E2882" s="6">
        <v>102.48148376255763</v>
      </c>
    </row>
    <row r="2883" spans="1:5" x14ac:dyDescent="0.3">
      <c r="A2883" s="4">
        <v>2880</v>
      </c>
      <c r="B2883" s="5">
        <v>52589.397873752743</v>
      </c>
      <c r="C2883" s="19">
        <v>-34.682632959942737</v>
      </c>
      <c r="D2883" s="5">
        <v>108363.85671842792</v>
      </c>
      <c r="E2883" s="6">
        <v>106.05646974427918</v>
      </c>
    </row>
    <row r="2884" spans="1:5" x14ac:dyDescent="0.3">
      <c r="A2884" s="4">
        <v>2881</v>
      </c>
      <c r="B2884" s="5">
        <v>74358.194481243801</v>
      </c>
      <c r="C2884" s="19">
        <v>-7.6452350143483834</v>
      </c>
      <c r="D2884" s="5">
        <v>127573.86210307216</v>
      </c>
      <c r="E2884" s="6">
        <v>71.566648428037794</v>
      </c>
    </row>
    <row r="2885" spans="1:5" x14ac:dyDescent="0.3">
      <c r="A2885" s="4">
        <v>2882</v>
      </c>
      <c r="B2885" s="5">
        <v>61572.594865274339</v>
      </c>
      <c r="C2885" s="19">
        <v>-23.52527427527135</v>
      </c>
      <c r="D2885" s="5">
        <v>107371.62981985474</v>
      </c>
      <c r="E2885" s="6">
        <v>74.38217449628732</v>
      </c>
    </row>
    <row r="2886" spans="1:5" x14ac:dyDescent="0.3">
      <c r="A2886" s="4">
        <v>2883</v>
      </c>
      <c r="B2886" s="5">
        <v>90863.907113576992</v>
      </c>
      <c r="C2886" s="19">
        <v>12.855279040822021</v>
      </c>
      <c r="D2886" s="5">
        <v>145730.53075324593</v>
      </c>
      <c r="E2886" s="6">
        <v>60.383297816026563</v>
      </c>
    </row>
    <row r="2887" spans="1:5" x14ac:dyDescent="0.3">
      <c r="A2887" s="4">
        <v>2884</v>
      </c>
      <c r="B2887" s="5">
        <v>80420.96855102852</v>
      </c>
      <c r="C2887" s="19">
        <v>-0.11511572780079654</v>
      </c>
      <c r="D2887" s="5">
        <v>157368.95605096797</v>
      </c>
      <c r="E2887" s="6">
        <v>95.681498104707103</v>
      </c>
    </row>
    <row r="2888" spans="1:5" x14ac:dyDescent="0.3">
      <c r="A2888" s="4">
        <v>2885</v>
      </c>
      <c r="B2888" s="5">
        <v>36875.794330421202</v>
      </c>
      <c r="C2888" s="19">
        <v>-54.199327420405275</v>
      </c>
      <c r="D2888" s="5">
        <v>75588.149066383427</v>
      </c>
      <c r="E2888" s="6">
        <v>104.9803955111712</v>
      </c>
    </row>
    <row r="2889" spans="1:5" x14ac:dyDescent="0.3">
      <c r="A2889" s="4">
        <v>2886</v>
      </c>
      <c r="B2889" s="5">
        <v>125309.34565413225</v>
      </c>
      <c r="C2889" s="19">
        <v>55.637388039489508</v>
      </c>
      <c r="D2889" s="5">
        <v>198828.48100108452</v>
      </c>
      <c r="E2889" s="6">
        <v>58.670113520401955</v>
      </c>
    </row>
    <row r="2890" spans="1:5" x14ac:dyDescent="0.3">
      <c r="A2890" s="4">
        <v>2887</v>
      </c>
      <c r="B2890" s="5">
        <v>50199.199476607348</v>
      </c>
      <c r="C2890" s="19">
        <v>-37.651320039792765</v>
      </c>
      <c r="D2890" s="5">
        <v>113284.15337541264</v>
      </c>
      <c r="E2890" s="6">
        <v>125.669242849585</v>
      </c>
    </row>
    <row r="2891" spans="1:5" x14ac:dyDescent="0.3">
      <c r="A2891" s="4">
        <v>2888</v>
      </c>
      <c r="B2891" s="5">
        <v>44822.422233671794</v>
      </c>
      <c r="C2891" s="19">
        <v>-44.329413854681846</v>
      </c>
      <c r="D2891" s="5">
        <v>86274.230532210597</v>
      </c>
      <c r="E2891" s="6">
        <v>92.480071876613351</v>
      </c>
    </row>
    <row r="2892" spans="1:5" x14ac:dyDescent="0.3">
      <c r="A2892" s="4">
        <v>2889</v>
      </c>
      <c r="B2892" s="5">
        <v>46098.808510771829</v>
      </c>
      <c r="C2892" s="19">
        <v>-42.744109699909515</v>
      </c>
      <c r="D2892" s="5">
        <v>84078.959896884757</v>
      </c>
      <c r="E2892" s="6">
        <v>82.388574917805457</v>
      </c>
    </row>
    <row r="2893" spans="1:5" x14ac:dyDescent="0.3">
      <c r="A2893" s="4">
        <v>2890</v>
      </c>
      <c r="B2893" s="5">
        <v>69478.313389304545</v>
      </c>
      <c r="C2893" s="19">
        <v>-13.706171196945652</v>
      </c>
      <c r="D2893" s="5">
        <v>107673.50071212459</v>
      </c>
      <c r="E2893" s="6">
        <v>54.97425809518829</v>
      </c>
    </row>
    <row r="2894" spans="1:5" x14ac:dyDescent="0.3">
      <c r="A2894" s="4">
        <v>2891</v>
      </c>
      <c r="B2894" s="5">
        <v>76034.882165867297</v>
      </c>
      <c r="C2894" s="19">
        <v>-5.5627463505495491</v>
      </c>
      <c r="D2894" s="5">
        <v>138990.02690473403</v>
      </c>
      <c r="E2894" s="6">
        <v>82.797714608845453</v>
      </c>
    </row>
    <row r="2895" spans="1:5" x14ac:dyDescent="0.3">
      <c r="A2895" s="4">
        <v>2892</v>
      </c>
      <c r="B2895" s="5">
        <v>40004.155691968379</v>
      </c>
      <c r="C2895" s="19">
        <v>-50.313823201919185</v>
      </c>
      <c r="D2895" s="5">
        <v>86669.013964315527</v>
      </c>
      <c r="E2895" s="6">
        <v>116.65002664139725</v>
      </c>
    </row>
    <row r="2896" spans="1:5" x14ac:dyDescent="0.3">
      <c r="A2896" s="4">
        <v>2893</v>
      </c>
      <c r="B2896" s="5">
        <v>37719.140641468177</v>
      </c>
      <c r="C2896" s="19">
        <v>-53.151869895358651</v>
      </c>
      <c r="D2896" s="5">
        <v>68563.095005043666</v>
      </c>
      <c r="E2896" s="6">
        <v>81.7726858009746</v>
      </c>
    </row>
    <row r="2897" spans="1:5" x14ac:dyDescent="0.3">
      <c r="A2897" s="4">
        <v>2894</v>
      </c>
      <c r="B2897" s="5">
        <v>78979.064127954407</v>
      </c>
      <c r="C2897" s="19">
        <v>-1.9059976212331526</v>
      </c>
      <c r="D2897" s="5">
        <v>140369.9510338179</v>
      </c>
      <c r="E2897" s="6">
        <v>77.730582887641958</v>
      </c>
    </row>
    <row r="2898" spans="1:5" x14ac:dyDescent="0.3">
      <c r="A2898" s="4">
        <v>2895</v>
      </c>
      <c r="B2898" s="5">
        <v>96370.171308423538</v>
      </c>
      <c r="C2898" s="19">
        <v>19.694198936762113</v>
      </c>
      <c r="D2898" s="5">
        <v>182897.58959951636</v>
      </c>
      <c r="E2898" s="6">
        <v>89.786514972739923</v>
      </c>
    </row>
    <row r="2899" spans="1:5" x14ac:dyDescent="0.3">
      <c r="A2899" s="4">
        <v>2896</v>
      </c>
      <c r="B2899" s="5">
        <v>106676.30124512616</v>
      </c>
      <c r="C2899" s="19">
        <v>32.49467391946019</v>
      </c>
      <c r="D2899" s="5">
        <v>182514.84964379299</v>
      </c>
      <c r="E2899" s="6">
        <v>71.092217777968514</v>
      </c>
    </row>
    <row r="2900" spans="1:5" x14ac:dyDescent="0.3">
      <c r="A2900" s="4">
        <v>2897</v>
      </c>
      <c r="B2900" s="5">
        <v>39846.183105592529</v>
      </c>
      <c r="C2900" s="19">
        <v>-50.510029164028666</v>
      </c>
      <c r="D2900" s="5">
        <v>69076.488169802979</v>
      </c>
      <c r="E2900" s="6">
        <v>73.357854594880607</v>
      </c>
    </row>
    <row r="2901" spans="1:5" x14ac:dyDescent="0.3">
      <c r="A2901" s="4">
        <v>2898</v>
      </c>
      <c r="B2901" s="5">
        <v>43262.592550967966</v>
      </c>
      <c r="C2901" s="19">
        <v>-46.266761913880522</v>
      </c>
      <c r="D2901" s="5">
        <v>89622.85837760834</v>
      </c>
      <c r="E2901" s="6">
        <v>107.16016561426136</v>
      </c>
    </row>
    <row r="2902" spans="1:5" x14ac:dyDescent="0.3">
      <c r="A2902" s="4">
        <v>2899</v>
      </c>
      <c r="B2902" s="5">
        <v>57058.656750100032</v>
      </c>
      <c r="C2902" s="19">
        <v>-29.131699991966958</v>
      </c>
      <c r="D2902" s="5">
        <v>103653.82832011457</v>
      </c>
      <c r="E2902" s="6">
        <v>81.661879588381382</v>
      </c>
    </row>
    <row r="2903" spans="1:5" x14ac:dyDescent="0.3">
      <c r="A2903" s="4">
        <v>2900</v>
      </c>
      <c r="B2903" s="5">
        <v>149039.44875203725</v>
      </c>
      <c r="C2903" s="19">
        <v>85.110778430176154</v>
      </c>
      <c r="D2903" s="5">
        <v>259656.60887426045</v>
      </c>
      <c r="E2903" s="6">
        <v>74.22005452144505</v>
      </c>
    </row>
    <row r="2904" spans="1:5" x14ac:dyDescent="0.3">
      <c r="A2904" s="4">
        <v>2901</v>
      </c>
      <c r="B2904" s="5">
        <v>74543.796161260529</v>
      </c>
      <c r="C2904" s="19">
        <v>-7.4147130166254458</v>
      </c>
      <c r="D2904" s="5">
        <v>120530.51349087455</v>
      </c>
      <c r="E2904" s="6">
        <v>61.690871269999448</v>
      </c>
    </row>
    <row r="2905" spans="1:5" x14ac:dyDescent="0.3">
      <c r="A2905" s="4">
        <v>2902</v>
      </c>
      <c r="B2905" s="5">
        <v>91988.623949711138</v>
      </c>
      <c r="C2905" s="19">
        <v>14.252205900077266</v>
      </c>
      <c r="D2905" s="5">
        <v>160040.23110643754</v>
      </c>
      <c r="E2905" s="6">
        <v>73.978285830136173</v>
      </c>
    </row>
    <row r="2906" spans="1:5" x14ac:dyDescent="0.3">
      <c r="A2906" s="4">
        <v>2903</v>
      </c>
      <c r="B2906" s="5">
        <v>67640.261677113085</v>
      </c>
      <c r="C2906" s="19">
        <v>-15.989078078899805</v>
      </c>
      <c r="D2906" s="5">
        <v>104194.92839592167</v>
      </c>
      <c r="E2906" s="6">
        <v>54.042763603289416</v>
      </c>
    </row>
    <row r="2907" spans="1:5" x14ac:dyDescent="0.3">
      <c r="A2907" s="4">
        <v>2904</v>
      </c>
      <c r="B2907" s="5">
        <v>80599.2386981499</v>
      </c>
      <c r="C2907" s="19">
        <v>0.10630031996923843</v>
      </c>
      <c r="D2907" s="5">
        <v>144429.88857005097</v>
      </c>
      <c r="E2907" s="6">
        <v>79.19510271176577</v>
      </c>
    </row>
    <row r="2908" spans="1:5" x14ac:dyDescent="0.3">
      <c r="A2908" s="4">
        <v>2905</v>
      </c>
      <c r="B2908" s="5">
        <v>79837.100765775976</v>
      </c>
      <c r="C2908" s="19">
        <v>-0.84029433744674686</v>
      </c>
      <c r="D2908" s="5">
        <v>147282.14282655308</v>
      </c>
      <c r="E2908" s="6">
        <v>84.478320747951045</v>
      </c>
    </row>
    <row r="2909" spans="1:5" x14ac:dyDescent="0.3">
      <c r="A2909" s="4">
        <v>2906</v>
      </c>
      <c r="B2909" s="5">
        <v>109524.41965609112</v>
      </c>
      <c r="C2909" s="19">
        <v>36.032109279894136</v>
      </c>
      <c r="D2909" s="5">
        <v>211070.32411096312</v>
      </c>
      <c r="E2909" s="6">
        <v>92.715309310679913</v>
      </c>
    </row>
    <row r="2910" spans="1:5" x14ac:dyDescent="0.3">
      <c r="A2910" s="4">
        <v>2907</v>
      </c>
      <c r="B2910" s="5">
        <v>36904.000788202473</v>
      </c>
      <c r="C2910" s="19">
        <v>-54.164294283874185</v>
      </c>
      <c r="D2910" s="5">
        <v>79628.020168019502</v>
      </c>
      <c r="E2910" s="6">
        <v>115.77069820970497</v>
      </c>
    </row>
    <row r="2911" spans="1:5" x14ac:dyDescent="0.3">
      <c r="A2911" s="4">
        <v>2908</v>
      </c>
      <c r="B2911" s="5">
        <v>63969.296267359146</v>
      </c>
      <c r="C2911" s="19">
        <v>-20.548510298220286</v>
      </c>
      <c r="D2911" s="5">
        <v>123059.59684434169</v>
      </c>
      <c r="E2911" s="6">
        <v>92.372910169302344</v>
      </c>
    </row>
    <row r="2912" spans="1:5" x14ac:dyDescent="0.3">
      <c r="A2912" s="4">
        <v>2909</v>
      </c>
      <c r="B2912" s="5">
        <v>31022.984187234153</v>
      </c>
      <c r="C2912" s="19">
        <v>-61.468666180587576</v>
      </c>
      <c r="D2912" s="5">
        <v>66335.319701619257</v>
      </c>
      <c r="E2912" s="6">
        <v>113.82636596551536</v>
      </c>
    </row>
    <row r="2913" spans="1:5" x14ac:dyDescent="0.3">
      <c r="A2913" s="4">
        <v>2910</v>
      </c>
      <c r="B2913" s="5">
        <v>53926.698612190041</v>
      </c>
      <c r="C2913" s="19">
        <v>-33.021671497992934</v>
      </c>
      <c r="D2913" s="5">
        <v>93517.144364240987</v>
      </c>
      <c r="E2913" s="6">
        <v>73.415296635832988</v>
      </c>
    </row>
    <row r="2914" spans="1:5" x14ac:dyDescent="0.3">
      <c r="A2914" s="4">
        <v>2911</v>
      </c>
      <c r="B2914" s="5">
        <v>71357.111501670384</v>
      </c>
      <c r="C2914" s="19">
        <v>-11.372656251705811</v>
      </c>
      <c r="D2914" s="5">
        <v>117667.15602763095</v>
      </c>
      <c r="E2914" s="6">
        <v>64.898989815298918</v>
      </c>
    </row>
    <row r="2915" spans="1:5" x14ac:dyDescent="0.3">
      <c r="A2915" s="4">
        <v>2912</v>
      </c>
      <c r="B2915" s="5">
        <v>57315.995268131614</v>
      </c>
      <c r="C2915" s="19">
        <v>-28.812079020527726</v>
      </c>
      <c r="D2915" s="5">
        <v>113585.76039552367</v>
      </c>
      <c r="E2915" s="6">
        <v>98.174627979772211</v>
      </c>
    </row>
    <row r="2916" spans="1:5" x14ac:dyDescent="0.3">
      <c r="A2916" s="4">
        <v>2913</v>
      </c>
      <c r="B2916" s="5">
        <v>96654.571046760102</v>
      </c>
      <c r="C2916" s="19">
        <v>20.047430630717237</v>
      </c>
      <c r="D2916" s="5">
        <v>179703.35368228337</v>
      </c>
      <c r="E2916" s="6">
        <v>85.923285092585488</v>
      </c>
    </row>
    <row r="2917" spans="1:5" x14ac:dyDescent="0.3">
      <c r="A2917" s="4">
        <v>2914</v>
      </c>
      <c r="B2917" s="5">
        <v>73618.261216360625</v>
      </c>
      <c r="C2917" s="19">
        <v>-8.5642509111180249</v>
      </c>
      <c r="D2917" s="5">
        <v>141339.08230325629</v>
      </c>
      <c r="E2917" s="6">
        <v>91.989161341188634</v>
      </c>
    </row>
    <row r="2918" spans="1:5" x14ac:dyDescent="0.3">
      <c r="A2918" s="4">
        <v>2915</v>
      </c>
      <c r="B2918" s="5">
        <v>94011.333624715611</v>
      </c>
      <c r="C2918" s="19">
        <v>16.764462659032898</v>
      </c>
      <c r="D2918" s="5">
        <v>204786.94662512833</v>
      </c>
      <c r="E2918" s="6">
        <v>117.83218972578193</v>
      </c>
    </row>
    <row r="2919" spans="1:5" x14ac:dyDescent="0.3">
      <c r="A2919" s="4">
        <v>2916</v>
      </c>
      <c r="B2919" s="5">
        <v>41591.348574441043</v>
      </c>
      <c r="C2919" s="19">
        <v>-48.342489354045334</v>
      </c>
      <c r="D2919" s="5">
        <v>74599.400842267132</v>
      </c>
      <c r="E2919" s="6">
        <v>79.362784327003979</v>
      </c>
    </row>
    <row r="2920" spans="1:5" x14ac:dyDescent="0.3">
      <c r="A2920" s="4">
        <v>2917</v>
      </c>
      <c r="B2920" s="5">
        <v>59915.410528705725</v>
      </c>
      <c r="C2920" s="19">
        <v>-25.583539285730993</v>
      </c>
      <c r="D2920" s="5">
        <v>105622.93839794825</v>
      </c>
      <c r="E2920" s="6">
        <v>76.286764066055852</v>
      </c>
    </row>
    <row r="2921" spans="1:5" x14ac:dyDescent="0.3">
      <c r="A2921" s="4">
        <v>2918</v>
      </c>
      <c r="B2921" s="5">
        <v>32050.228461084793</v>
      </c>
      <c r="C2921" s="19">
        <v>-60.192802717842206</v>
      </c>
      <c r="D2921" s="5">
        <v>62253.135855664768</v>
      </c>
      <c r="E2921" s="6">
        <v>94.236168803764315</v>
      </c>
    </row>
    <row r="2922" spans="1:5" x14ac:dyDescent="0.3">
      <c r="A2922" s="4">
        <v>2919</v>
      </c>
      <c r="B2922" s="5">
        <v>43468.832894860214</v>
      </c>
      <c r="C2922" s="19">
        <v>-46.010606171751348</v>
      </c>
      <c r="D2922" s="5">
        <v>83988.419477235773</v>
      </c>
      <c r="E2922" s="6">
        <v>93.2152622555611</v>
      </c>
    </row>
    <row r="2923" spans="1:5" x14ac:dyDescent="0.3">
      <c r="A2923" s="4">
        <v>2920</v>
      </c>
      <c r="B2923" s="5">
        <v>69737.246168243029</v>
      </c>
      <c r="C2923" s="19">
        <v>-13.384570112992794</v>
      </c>
      <c r="D2923" s="5">
        <v>139554.11172193688</v>
      </c>
      <c r="E2923" s="6">
        <v>100.11417053271465</v>
      </c>
    </row>
    <row r="2924" spans="1:5" x14ac:dyDescent="0.3">
      <c r="A2924" s="4">
        <v>2921</v>
      </c>
      <c r="B2924" s="5">
        <v>60928.154261675612</v>
      </c>
      <c r="C2924" s="19">
        <v>-24.325685862827914</v>
      </c>
      <c r="D2924" s="5">
        <v>119174.80353163306</v>
      </c>
      <c r="E2924" s="6">
        <v>95.598906574124058</v>
      </c>
    </row>
    <row r="2925" spans="1:5" x14ac:dyDescent="0.3">
      <c r="A2925" s="4">
        <v>2922</v>
      </c>
      <c r="B2925" s="5">
        <v>60502.216339059269</v>
      </c>
      <c r="C2925" s="19">
        <v>-24.854711574333479</v>
      </c>
      <c r="D2925" s="5">
        <v>126063.3011142021</v>
      </c>
      <c r="E2925" s="6">
        <v>108.36145969882038</v>
      </c>
    </row>
    <row r="2926" spans="1:5" x14ac:dyDescent="0.3">
      <c r="A2926" s="4">
        <v>2923</v>
      </c>
      <c r="B2926" s="5">
        <v>54313.218602235764</v>
      </c>
      <c r="C2926" s="19">
        <v>-32.541603859288585</v>
      </c>
      <c r="D2926" s="5">
        <v>105526.22878019141</v>
      </c>
      <c r="E2926" s="6">
        <v>94.291981760490799</v>
      </c>
    </row>
    <row r="2927" spans="1:5" x14ac:dyDescent="0.3">
      <c r="A2927" s="4">
        <v>2924</v>
      </c>
      <c r="B2927" s="5">
        <v>39758.427401414097</v>
      </c>
      <c r="C2927" s="19">
        <v>-50.619023976128283</v>
      </c>
      <c r="D2927" s="5">
        <v>82770.139856688314</v>
      </c>
      <c r="E2927" s="6">
        <v>108.18263011515492</v>
      </c>
    </row>
    <row r="2928" spans="1:5" x14ac:dyDescent="0.3">
      <c r="A2928" s="4">
        <v>2925</v>
      </c>
      <c r="B2928" s="5">
        <v>42275.345158137759</v>
      </c>
      <c r="C2928" s="19">
        <v>-47.492948235154493</v>
      </c>
      <c r="D2928" s="5">
        <v>81461.950391513936</v>
      </c>
      <c r="E2928" s="6">
        <v>92.693755868325496</v>
      </c>
    </row>
    <row r="2929" spans="1:5" x14ac:dyDescent="0.3">
      <c r="A2929" s="4">
        <v>2926</v>
      </c>
      <c r="B2929" s="5">
        <v>75961.751479535713</v>
      </c>
      <c r="C2929" s="19">
        <v>-5.6535765192553864</v>
      </c>
      <c r="D2929" s="5">
        <v>140668.75989219753</v>
      </c>
      <c r="E2929" s="6">
        <v>85.183670929565196</v>
      </c>
    </row>
    <row r="2930" spans="1:5" x14ac:dyDescent="0.3">
      <c r="A2930" s="4">
        <v>2927</v>
      </c>
      <c r="B2930" s="5">
        <v>55550.20992841819</v>
      </c>
      <c r="C2930" s="19">
        <v>-31.005229233521092</v>
      </c>
      <c r="D2930" s="5">
        <v>96798.849649970638</v>
      </c>
      <c r="E2930" s="6">
        <v>74.254696381355373</v>
      </c>
    </row>
    <row r="2931" spans="1:5" x14ac:dyDescent="0.3">
      <c r="A2931" s="4">
        <v>2928</v>
      </c>
      <c r="B2931" s="5">
        <v>66323.060071513813</v>
      </c>
      <c r="C2931" s="19">
        <v>-17.625075907686906</v>
      </c>
      <c r="D2931" s="5">
        <v>112277.93507736595</v>
      </c>
      <c r="E2931" s="6">
        <v>69.289437122323093</v>
      </c>
    </row>
    <row r="2932" spans="1:5" x14ac:dyDescent="0.3">
      <c r="A2932" s="4">
        <v>2929</v>
      </c>
      <c r="B2932" s="5">
        <v>45418.896469828651</v>
      </c>
      <c r="C2932" s="19">
        <v>-43.58857771302219</v>
      </c>
      <c r="D2932" s="5">
        <v>82871.022572665475</v>
      </c>
      <c r="E2932" s="6">
        <v>82.459348451400444</v>
      </c>
    </row>
    <row r="2933" spans="1:5" x14ac:dyDescent="0.3">
      <c r="A2933" s="4">
        <v>2930</v>
      </c>
      <c r="B2933" s="5">
        <v>49803.152639019565</v>
      </c>
      <c r="C2933" s="19">
        <v>-38.14322026496508</v>
      </c>
      <c r="D2933" s="5">
        <v>100738.65548799839</v>
      </c>
      <c r="E2933" s="6">
        <v>102.2736516665254</v>
      </c>
    </row>
    <row r="2934" spans="1:5" x14ac:dyDescent="0.3">
      <c r="A2934" s="4">
        <v>2931</v>
      </c>
      <c r="B2934" s="5">
        <v>32798.651428125821</v>
      </c>
      <c r="C2934" s="19">
        <v>-59.263242395497727</v>
      </c>
      <c r="D2934" s="5">
        <v>57463.888086561186</v>
      </c>
      <c r="E2934" s="6">
        <v>75.201984180618439</v>
      </c>
    </row>
    <row r="2935" spans="1:5" x14ac:dyDescent="0.3">
      <c r="A2935" s="4">
        <v>2932</v>
      </c>
      <c r="B2935" s="5">
        <v>151352.02831174992</v>
      </c>
      <c r="C2935" s="19">
        <v>87.983060943729626</v>
      </c>
      <c r="D2935" s="5">
        <v>296412.51433793391</v>
      </c>
      <c r="E2935" s="6">
        <v>95.84310672559549</v>
      </c>
    </row>
    <row r="2936" spans="1:5" x14ac:dyDescent="0.3">
      <c r="A2936" s="4">
        <v>2933</v>
      </c>
      <c r="B2936" s="5">
        <v>56220.778914235765</v>
      </c>
      <c r="C2936" s="19">
        <v>-30.172365532029922</v>
      </c>
      <c r="D2936" s="5">
        <v>94412.011811578588</v>
      </c>
      <c r="E2936" s="6">
        <v>67.930814255709919</v>
      </c>
    </row>
    <row r="2937" spans="1:5" x14ac:dyDescent="0.3">
      <c r="A2937" s="4">
        <v>2934</v>
      </c>
      <c r="B2937" s="5">
        <v>86523.488250666051</v>
      </c>
      <c r="C2937" s="19">
        <v>7.4643686398904574</v>
      </c>
      <c r="D2937" s="5">
        <v>151728.17550112485</v>
      </c>
      <c r="E2937" s="6">
        <v>75.36067785611597</v>
      </c>
    </row>
    <row r="2938" spans="1:5" x14ac:dyDescent="0.3">
      <c r="A2938" s="4">
        <v>2935</v>
      </c>
      <c r="B2938" s="5">
        <v>197537.93125385343</v>
      </c>
      <c r="C2938" s="19">
        <v>145.34712473825891</v>
      </c>
      <c r="D2938" s="5">
        <v>403567.05980787816</v>
      </c>
      <c r="E2938" s="6">
        <v>104.29851484536374</v>
      </c>
    </row>
    <row r="2939" spans="1:5" x14ac:dyDescent="0.3">
      <c r="A2939" s="4">
        <v>2936</v>
      </c>
      <c r="B2939" s="5">
        <v>73034.633866969176</v>
      </c>
      <c r="C2939" s="19">
        <v>-9.2891308933214933</v>
      </c>
      <c r="D2939" s="5">
        <v>123704.48188185949</v>
      </c>
      <c r="E2939" s="6">
        <v>69.377835325613077</v>
      </c>
    </row>
    <row r="2940" spans="1:5" x14ac:dyDescent="0.3">
      <c r="A2940" s="4">
        <v>2937</v>
      </c>
      <c r="B2940" s="5">
        <v>37765.829259253471</v>
      </c>
      <c r="C2940" s="19">
        <v>-53.093881446968425</v>
      </c>
      <c r="D2940" s="5">
        <v>74022.149087052254</v>
      </c>
      <c r="E2940" s="6">
        <v>96.002975544129427</v>
      </c>
    </row>
    <row r="2941" spans="1:5" x14ac:dyDescent="0.3">
      <c r="A2941" s="4">
        <v>2938</v>
      </c>
      <c r="B2941" s="5">
        <v>87576.028586489731</v>
      </c>
      <c r="C2941" s="19">
        <v>8.7716504536982729</v>
      </c>
      <c r="D2941" s="5">
        <v>149416.6833978119</v>
      </c>
      <c r="E2941" s="6">
        <v>70.613677977243043</v>
      </c>
    </row>
    <row r="2942" spans="1:5" x14ac:dyDescent="0.3">
      <c r="A2942" s="4">
        <v>2939</v>
      </c>
      <c r="B2942" s="5">
        <v>110657.85227868705</v>
      </c>
      <c r="C2942" s="19">
        <v>37.439861367168412</v>
      </c>
      <c r="D2942" s="5">
        <v>182200.56564079601</v>
      </c>
      <c r="E2942" s="6">
        <v>64.652179568722971</v>
      </c>
    </row>
    <row r="2943" spans="1:5" x14ac:dyDescent="0.3">
      <c r="A2943" s="4">
        <v>2940</v>
      </c>
      <c r="B2943" s="5">
        <v>85266.846821795421</v>
      </c>
      <c r="C2943" s="19">
        <v>5.9035880878041</v>
      </c>
      <c r="D2943" s="5">
        <v>169601.13865012399</v>
      </c>
      <c r="E2943" s="6">
        <v>98.906309980694076</v>
      </c>
    </row>
    <row r="2944" spans="1:5" x14ac:dyDescent="0.3">
      <c r="A2944" s="4">
        <v>2941</v>
      </c>
      <c r="B2944" s="5">
        <v>28499.88089788998</v>
      </c>
      <c r="C2944" s="19">
        <v>-64.602424510083907</v>
      </c>
      <c r="D2944" s="5">
        <v>58969.609933286032</v>
      </c>
      <c r="E2944" s="6">
        <v>106.91177673536143</v>
      </c>
    </row>
    <row r="2945" spans="1:5" x14ac:dyDescent="0.3">
      <c r="A2945" s="4">
        <v>2942</v>
      </c>
      <c r="B2945" s="5">
        <v>85361.603060959504</v>
      </c>
      <c r="C2945" s="19">
        <v>6.0212777420510228</v>
      </c>
      <c r="D2945" s="5">
        <v>185263.28662600202</v>
      </c>
      <c r="E2945" s="6">
        <v>117.03351387824743</v>
      </c>
    </row>
    <row r="2946" spans="1:5" x14ac:dyDescent="0.3">
      <c r="A2946" s="4">
        <v>2943</v>
      </c>
      <c r="B2946" s="5">
        <v>94335.800500011843</v>
      </c>
      <c r="C2946" s="19">
        <v>17.167458754119242</v>
      </c>
      <c r="D2946" s="5">
        <v>197671.6531836786</v>
      </c>
      <c r="E2946" s="6">
        <v>109.54044184281216</v>
      </c>
    </row>
    <row r="2947" spans="1:5" x14ac:dyDescent="0.3">
      <c r="A2947" s="4">
        <v>2944</v>
      </c>
      <c r="B2947" s="5">
        <v>159350.13262033527</v>
      </c>
      <c r="C2947" s="19">
        <v>97.916909511508507</v>
      </c>
      <c r="D2947" s="5">
        <v>289014.10962746374</v>
      </c>
      <c r="E2947" s="6">
        <v>81.370485781811993</v>
      </c>
    </row>
    <row r="2948" spans="1:5" x14ac:dyDescent="0.3">
      <c r="A2948" s="4">
        <v>2945</v>
      </c>
      <c r="B2948" s="5">
        <v>34196.415388916379</v>
      </c>
      <c r="C2948" s="19">
        <v>-57.527184076642399</v>
      </c>
      <c r="D2948" s="5">
        <v>66943.133407982998</v>
      </c>
      <c r="E2948" s="6">
        <v>95.760674464377843</v>
      </c>
    </row>
    <row r="2949" spans="1:5" x14ac:dyDescent="0.3">
      <c r="A2949" s="4">
        <v>2946</v>
      </c>
      <c r="B2949" s="5">
        <v>76347.829468302938</v>
      </c>
      <c r="C2949" s="19">
        <v>-5.1740578573582896</v>
      </c>
      <c r="D2949" s="5">
        <v>127329.218720996</v>
      </c>
      <c r="E2949" s="6">
        <v>66.775165198191814</v>
      </c>
    </row>
    <row r="2950" spans="1:5" x14ac:dyDescent="0.3">
      <c r="A2950" s="4">
        <v>2947</v>
      </c>
      <c r="B2950" s="5">
        <v>70033.847344697046</v>
      </c>
      <c r="C2950" s="19">
        <v>-13.016183923185723</v>
      </c>
      <c r="D2950" s="5">
        <v>141083.91964769887</v>
      </c>
      <c r="E2950" s="6">
        <v>101.45104830997369</v>
      </c>
    </row>
    <row r="2951" spans="1:5" x14ac:dyDescent="0.3">
      <c r="A2951" s="4">
        <v>2948</v>
      </c>
      <c r="B2951" s="5">
        <v>33135.589737251088</v>
      </c>
      <c r="C2951" s="19">
        <v>-58.844756463032333</v>
      </c>
      <c r="D2951" s="5">
        <v>73589.637333209539</v>
      </c>
      <c r="E2951" s="6">
        <v>122.08639688244311</v>
      </c>
    </row>
    <row r="2952" spans="1:5" x14ac:dyDescent="0.3">
      <c r="A2952" s="4">
        <v>2949</v>
      </c>
      <c r="B2952" s="5">
        <v>118955.61474619008</v>
      </c>
      <c r="C2952" s="19">
        <v>47.745892974569877</v>
      </c>
      <c r="D2952" s="5">
        <v>171584.01823369079</v>
      </c>
      <c r="E2952" s="6">
        <v>44.242050784901089</v>
      </c>
    </row>
    <row r="2953" spans="1:5" x14ac:dyDescent="0.3">
      <c r="A2953" s="4">
        <v>2950</v>
      </c>
      <c r="B2953" s="5">
        <v>76984.32790614829</v>
      </c>
      <c r="C2953" s="19">
        <v>-4.383510641264043</v>
      </c>
      <c r="D2953" s="5">
        <v>140037.23979621139</v>
      </c>
      <c r="E2953" s="6">
        <v>81.903568693787903</v>
      </c>
    </row>
    <row r="2954" spans="1:5" x14ac:dyDescent="0.3">
      <c r="A2954" s="4">
        <v>2951</v>
      </c>
      <c r="B2954" s="5">
        <v>63771.317385666356</v>
      </c>
      <c r="C2954" s="19">
        <v>-20.794405094596382</v>
      </c>
      <c r="D2954" s="5">
        <v>131418.90761910446</v>
      </c>
      <c r="E2954" s="6">
        <v>106.07839543964477</v>
      </c>
    </row>
    <row r="2955" spans="1:5" x14ac:dyDescent="0.3">
      <c r="A2955" s="4">
        <v>2952</v>
      </c>
      <c r="B2955" s="5">
        <v>22609.050557751729</v>
      </c>
      <c r="C2955" s="19">
        <v>-71.918985319949229</v>
      </c>
      <c r="D2955" s="5">
        <v>45593.391552114939</v>
      </c>
      <c r="E2955" s="6">
        <v>101.65991241274308</v>
      </c>
    </row>
    <row r="2956" spans="1:5" x14ac:dyDescent="0.3">
      <c r="A2956" s="4">
        <v>2953</v>
      </c>
      <c r="B2956" s="5">
        <v>67206.845707184781</v>
      </c>
      <c r="C2956" s="19">
        <v>-16.527391714982691</v>
      </c>
      <c r="D2956" s="5">
        <v>136638.20725085909</v>
      </c>
      <c r="E2956" s="6">
        <v>103.30995423618241</v>
      </c>
    </row>
    <row r="2957" spans="1:5" x14ac:dyDescent="0.3">
      <c r="A2957" s="4">
        <v>2954</v>
      </c>
      <c r="B2957" s="5">
        <v>79776.274148623561</v>
      </c>
      <c r="C2957" s="19">
        <v>-0.91584253991689335</v>
      </c>
      <c r="D2957" s="5">
        <v>125002.62287224049</v>
      </c>
      <c r="E2957" s="6">
        <v>56.691477768640887</v>
      </c>
    </row>
    <row r="2958" spans="1:5" x14ac:dyDescent="0.3">
      <c r="A2958" s="4">
        <v>2955</v>
      </c>
      <c r="B2958" s="5">
        <v>66807.344617838535</v>
      </c>
      <c r="C2958" s="19">
        <v>-17.023582208518558</v>
      </c>
      <c r="D2958" s="5">
        <v>126747.226080325</v>
      </c>
      <c r="E2958" s="6">
        <v>89.720496758797438</v>
      </c>
    </row>
    <row r="2959" spans="1:5" x14ac:dyDescent="0.3">
      <c r="A2959" s="4">
        <v>2956</v>
      </c>
      <c r="B2959" s="5">
        <v>37200.195428532672</v>
      </c>
      <c r="C2959" s="19">
        <v>-53.796413022252032</v>
      </c>
      <c r="D2959" s="5">
        <v>83661.094053198423</v>
      </c>
      <c r="E2959" s="6">
        <v>124.89423264972982</v>
      </c>
    </row>
    <row r="2960" spans="1:5" x14ac:dyDescent="0.3">
      <c r="A2960" s="4">
        <v>2957</v>
      </c>
      <c r="B2960" s="5">
        <v>40041.314415297689</v>
      </c>
      <c r="C2960" s="19">
        <v>-50.267671124341348</v>
      </c>
      <c r="D2960" s="5">
        <v>74048.712772600353</v>
      </c>
      <c r="E2960" s="6">
        <v>84.930774261272049</v>
      </c>
    </row>
    <row r="2961" spans="1:5" x14ac:dyDescent="0.3">
      <c r="A2961" s="4">
        <v>2958</v>
      </c>
      <c r="B2961" s="5">
        <v>71160.11855612279</v>
      </c>
      <c r="C2961" s="19">
        <v>-11.61732649036348</v>
      </c>
      <c r="D2961" s="5">
        <v>130979.78460970242</v>
      </c>
      <c r="E2961" s="6">
        <v>84.06347160088113</v>
      </c>
    </row>
    <row r="2962" spans="1:5" x14ac:dyDescent="0.3">
      <c r="A2962" s="4">
        <v>2959</v>
      </c>
      <c r="B2962" s="5">
        <v>60379.15903231909</v>
      </c>
      <c r="C2962" s="19">
        <v>-25.007551872878153</v>
      </c>
      <c r="D2962" s="5">
        <v>88649.490168262681</v>
      </c>
      <c r="E2962" s="6">
        <v>46.821339662600067</v>
      </c>
    </row>
    <row r="2963" spans="1:5" x14ac:dyDescent="0.3">
      <c r="A2963" s="4">
        <v>2960</v>
      </c>
      <c r="B2963" s="5">
        <v>39417.475172518476</v>
      </c>
      <c r="C2963" s="19">
        <v>-51.042495298834098</v>
      </c>
      <c r="D2963" s="5">
        <v>85548.130467685085</v>
      </c>
      <c r="E2963" s="6">
        <v>117.0309744428494</v>
      </c>
    </row>
    <row r="2964" spans="1:5" x14ac:dyDescent="0.3">
      <c r="A2964" s="4">
        <v>2961</v>
      </c>
      <c r="B2964" s="5">
        <v>85573.601395088292</v>
      </c>
      <c r="C2964" s="19">
        <v>6.2845850542095034</v>
      </c>
      <c r="D2964" s="5">
        <v>136504.36147379302</v>
      </c>
      <c r="E2964" s="6">
        <v>59.516906205174656</v>
      </c>
    </row>
    <row r="2965" spans="1:5" x14ac:dyDescent="0.3">
      <c r="A2965" s="4">
        <v>2962</v>
      </c>
      <c r="B2965" s="5">
        <v>32110.177580560299</v>
      </c>
      <c r="C2965" s="19">
        <v>-60.118344389760381</v>
      </c>
      <c r="D2965" s="5">
        <v>66997.892066245986</v>
      </c>
      <c r="E2965" s="6">
        <v>108.65002038109853</v>
      </c>
    </row>
    <row r="2966" spans="1:5" x14ac:dyDescent="0.3">
      <c r="A2966" s="4">
        <v>2963</v>
      </c>
      <c r="B2966" s="5">
        <v>57243.229693391477</v>
      </c>
      <c r="C2966" s="19">
        <v>-28.902455711369328</v>
      </c>
      <c r="D2966" s="5">
        <v>109467.13230333138</v>
      </c>
      <c r="E2966" s="6">
        <v>91.231579506718447</v>
      </c>
    </row>
    <row r="2967" spans="1:5" x14ac:dyDescent="0.3">
      <c r="A2967" s="4">
        <v>2964</v>
      </c>
      <c r="B2967" s="5">
        <v>31069.116723936273</v>
      </c>
      <c r="C2967" s="19">
        <v>-61.411368399017697</v>
      </c>
      <c r="D2967" s="5">
        <v>59998.314699685754</v>
      </c>
      <c r="E2967" s="6">
        <v>93.112392710739172</v>
      </c>
    </row>
    <row r="2968" spans="1:5" x14ac:dyDescent="0.3">
      <c r="A2968" s="4">
        <v>2965</v>
      </c>
      <c r="B2968" s="5">
        <v>46775.667261749841</v>
      </c>
      <c r="C2968" s="19">
        <v>-41.903433950435478</v>
      </c>
      <c r="D2968" s="5">
        <v>89325.330887071104</v>
      </c>
      <c r="E2968" s="6">
        <v>90.965380327381595</v>
      </c>
    </row>
    <row r="2969" spans="1:5" x14ac:dyDescent="0.3">
      <c r="A2969" s="4">
        <v>2966</v>
      </c>
      <c r="B2969" s="5">
        <v>40213.16011401025</v>
      </c>
      <c r="C2969" s="19">
        <v>-50.054234404567353</v>
      </c>
      <c r="D2969" s="5">
        <v>79284.066202813076</v>
      </c>
      <c r="E2969" s="6">
        <v>97.159501959137344</v>
      </c>
    </row>
    <row r="2970" spans="1:5" x14ac:dyDescent="0.3">
      <c r="A2970" s="4">
        <v>2967</v>
      </c>
      <c r="B2970" s="5">
        <v>105309.08169185679</v>
      </c>
      <c r="C2970" s="19">
        <v>30.796552530057291</v>
      </c>
      <c r="D2970" s="5">
        <v>187778.14906603418</v>
      </c>
      <c r="E2970" s="6">
        <v>78.311448594233127</v>
      </c>
    </row>
    <row r="2971" spans="1:5" x14ac:dyDescent="0.3">
      <c r="A2971" s="4">
        <v>2968</v>
      </c>
      <c r="B2971" s="5">
        <v>46397.204219788851</v>
      </c>
      <c r="C2971" s="19">
        <v>-42.373494655108431</v>
      </c>
      <c r="D2971" s="5">
        <v>77679.504634427547</v>
      </c>
      <c r="E2971" s="6">
        <v>67.422813379984859</v>
      </c>
    </row>
    <row r="2972" spans="1:5" x14ac:dyDescent="0.3">
      <c r="A2972" s="4">
        <v>2969</v>
      </c>
      <c r="B2972" s="5">
        <v>37781.232379611312</v>
      </c>
      <c r="C2972" s="19">
        <v>-53.074750380505364</v>
      </c>
      <c r="D2972" s="5">
        <v>70125.384998382113</v>
      </c>
      <c r="E2972" s="6">
        <v>85.609046030550772</v>
      </c>
    </row>
    <row r="2973" spans="1:5" x14ac:dyDescent="0.3">
      <c r="A2973" s="4">
        <v>2970</v>
      </c>
      <c r="B2973" s="5">
        <v>120560.96169668112</v>
      </c>
      <c r="C2973" s="19">
        <v>49.739774635728679</v>
      </c>
      <c r="D2973" s="5">
        <v>234469.4109583461</v>
      </c>
      <c r="E2973" s="6">
        <v>94.482034365524413</v>
      </c>
    </row>
    <row r="2974" spans="1:5" x14ac:dyDescent="0.3">
      <c r="A2974" s="4">
        <v>2971</v>
      </c>
      <c r="B2974" s="5">
        <v>73821.466018270716</v>
      </c>
      <c r="C2974" s="19">
        <v>-8.3118653891820902</v>
      </c>
      <c r="D2974" s="5">
        <v>144763.66648930628</v>
      </c>
      <c r="E2974" s="6">
        <v>96.099690642119555</v>
      </c>
    </row>
    <row r="2975" spans="1:5" x14ac:dyDescent="0.3">
      <c r="A2975" s="4">
        <v>2972</v>
      </c>
      <c r="B2975" s="5">
        <v>68448.098927843836</v>
      </c>
      <c r="C2975" s="19">
        <v>-14.98572370809522</v>
      </c>
      <c r="D2975" s="5">
        <v>138316.88555790173</v>
      </c>
      <c r="E2975" s="6">
        <v>102.07556926264922</v>
      </c>
    </row>
    <row r="2976" spans="1:5" x14ac:dyDescent="0.3">
      <c r="A2976" s="4">
        <v>2973</v>
      </c>
      <c r="B2976" s="5">
        <v>70338.968987579457</v>
      </c>
      <c r="C2976" s="19">
        <v>-12.637215097798912</v>
      </c>
      <c r="D2976" s="5">
        <v>119191.55811825962</v>
      </c>
      <c r="E2976" s="6">
        <v>69.453092409282561</v>
      </c>
    </row>
    <row r="2977" spans="1:5" x14ac:dyDescent="0.3">
      <c r="A2977" s="4">
        <v>2974</v>
      </c>
      <c r="B2977" s="5">
        <v>52117.794508341183</v>
      </c>
      <c r="C2977" s="19">
        <v>-35.268376310529518</v>
      </c>
      <c r="D2977" s="5">
        <v>99657.246915960612</v>
      </c>
      <c r="E2977" s="6">
        <v>91.215395540214175</v>
      </c>
    </row>
    <row r="2978" spans="1:5" x14ac:dyDescent="0.3">
      <c r="A2978" s="4">
        <v>2975</v>
      </c>
      <c r="B2978" s="5">
        <v>113901.53848344058</v>
      </c>
      <c r="C2978" s="19">
        <v>41.468601968216454</v>
      </c>
      <c r="D2978" s="5">
        <v>198760.78158977689</v>
      </c>
      <c r="E2978" s="6">
        <v>74.5022799834029</v>
      </c>
    </row>
    <row r="2979" spans="1:5" x14ac:dyDescent="0.3">
      <c r="A2979" s="4">
        <v>2976</v>
      </c>
      <c r="B2979" s="5">
        <v>40835.587367696295</v>
      </c>
      <c r="C2979" s="19">
        <v>-49.281163956368957</v>
      </c>
      <c r="D2979" s="5">
        <v>77223.157811289479</v>
      </c>
      <c r="E2979" s="6">
        <v>89.10749860397064</v>
      </c>
    </row>
    <row r="2980" spans="1:5" x14ac:dyDescent="0.3">
      <c r="A2980" s="4">
        <v>2977</v>
      </c>
      <c r="B2980" s="5">
        <v>74702.628534022762</v>
      </c>
      <c r="C2980" s="19">
        <v>-7.2174391780000402</v>
      </c>
      <c r="D2980" s="5">
        <v>114831.97394345679</v>
      </c>
      <c r="E2980" s="6">
        <v>53.718786335821392</v>
      </c>
    </row>
    <row r="2981" spans="1:5" x14ac:dyDescent="0.3">
      <c r="A2981" s="4">
        <v>2978</v>
      </c>
      <c r="B2981" s="5">
        <v>123109.43834293637</v>
      </c>
      <c r="C2981" s="19">
        <v>52.905047318562495</v>
      </c>
      <c r="D2981" s="5">
        <v>206767.7020854927</v>
      </c>
      <c r="E2981" s="6">
        <v>67.954386656785829</v>
      </c>
    </row>
    <row r="2982" spans="1:5" x14ac:dyDescent="0.3">
      <c r="A2982" s="4">
        <v>2979</v>
      </c>
      <c r="B2982" s="5">
        <v>55446.074373429234</v>
      </c>
      <c r="C2982" s="19">
        <v>-31.134568236098424</v>
      </c>
      <c r="D2982" s="5">
        <v>96532.61469104742</v>
      </c>
      <c r="E2982" s="6">
        <v>74.10180212380844</v>
      </c>
    </row>
    <row r="2983" spans="1:5" x14ac:dyDescent="0.3">
      <c r="A2983" s="4">
        <v>2980</v>
      </c>
      <c r="B2983" s="5">
        <v>73370.438050882309</v>
      </c>
      <c r="C2983" s="19">
        <v>-8.8720535731571548</v>
      </c>
      <c r="D2983" s="5">
        <v>123957.06268434032</v>
      </c>
      <c r="E2983" s="6">
        <v>68.946875577294833</v>
      </c>
    </row>
    <row r="2984" spans="1:5" x14ac:dyDescent="0.3">
      <c r="A2984" s="4">
        <v>2981</v>
      </c>
      <c r="B2984" s="5">
        <v>50680.218109963462</v>
      </c>
      <c r="C2984" s="19">
        <v>-37.05388268743036</v>
      </c>
      <c r="D2984" s="5">
        <v>96334.626721562207</v>
      </c>
      <c r="E2984" s="6">
        <v>90.0832914975623</v>
      </c>
    </row>
    <row r="2985" spans="1:5" x14ac:dyDescent="0.3">
      <c r="A2985" s="4">
        <v>2982</v>
      </c>
      <c r="B2985" s="5">
        <v>128585.52836849778</v>
      </c>
      <c r="C2985" s="19">
        <v>59.706490130337123</v>
      </c>
      <c r="D2985" s="5">
        <v>236444.3700977703</v>
      </c>
      <c r="E2985" s="6">
        <v>83.881011415353726</v>
      </c>
    </row>
    <row r="2986" spans="1:5" x14ac:dyDescent="0.3">
      <c r="A2986" s="4">
        <v>2983</v>
      </c>
      <c r="B2986" s="5">
        <v>52952.286789479287</v>
      </c>
      <c r="C2986" s="19">
        <v>-34.231915715372253</v>
      </c>
      <c r="D2986" s="5">
        <v>99472.847614833518</v>
      </c>
      <c r="E2986" s="6">
        <v>87.853733324690083</v>
      </c>
    </row>
    <row r="2987" spans="1:5" x14ac:dyDescent="0.3">
      <c r="A2987" s="4">
        <v>2984</v>
      </c>
      <c r="B2987" s="5">
        <v>69808.15696646423</v>
      </c>
      <c r="C2987" s="19">
        <v>-13.296497101667647</v>
      </c>
      <c r="D2987" s="5">
        <v>120852.90003264048</v>
      </c>
      <c r="E2987" s="6">
        <v>73.12145927401879</v>
      </c>
    </row>
    <row r="2988" spans="1:5" x14ac:dyDescent="0.3">
      <c r="A2988" s="4">
        <v>2985</v>
      </c>
      <c r="B2988" s="5">
        <v>47086.898722212485</v>
      </c>
      <c r="C2988" s="19">
        <v>-41.516876576528034</v>
      </c>
      <c r="D2988" s="5">
        <v>94450.002953970295</v>
      </c>
      <c r="E2988" s="6">
        <v>100.58658675139085</v>
      </c>
    </row>
    <row r="2989" spans="1:5" x14ac:dyDescent="0.3">
      <c r="A2989" s="4">
        <v>2986</v>
      </c>
      <c r="B2989" s="5">
        <v>115023.17491051601</v>
      </c>
      <c r="C2989" s="19">
        <v>42.861702881230507</v>
      </c>
      <c r="D2989" s="5">
        <v>188347.52129557516</v>
      </c>
      <c r="E2989" s="6">
        <v>63.747454756054957</v>
      </c>
    </row>
    <row r="2990" spans="1:5" x14ac:dyDescent="0.3">
      <c r="A2990" s="4">
        <v>2987</v>
      </c>
      <c r="B2990" s="5">
        <v>20333.872594180557</v>
      </c>
      <c r="C2990" s="19">
        <v>-74.7448141017273</v>
      </c>
      <c r="D2990" s="5">
        <v>45196.232154968435</v>
      </c>
      <c r="E2990" s="6">
        <v>122.27065673610717</v>
      </c>
    </row>
    <row r="2991" spans="1:5" x14ac:dyDescent="0.3">
      <c r="A2991" s="4">
        <v>2988</v>
      </c>
      <c r="B2991" s="5">
        <v>72929.87830338502</v>
      </c>
      <c r="C2991" s="19">
        <v>-9.4192399623117922</v>
      </c>
      <c r="D2991" s="5">
        <v>158194.99551396962</v>
      </c>
      <c r="E2991" s="6">
        <v>116.91383448616979</v>
      </c>
    </row>
    <row r="2992" spans="1:5" x14ac:dyDescent="0.3">
      <c r="A2992" s="4">
        <v>2989</v>
      </c>
      <c r="B2992" s="5">
        <v>63776.062061465767</v>
      </c>
      <c r="C2992" s="19">
        <v>-20.788512086819033</v>
      </c>
      <c r="D2992" s="5">
        <v>116715.19836859216</v>
      </c>
      <c r="E2992" s="6">
        <v>83.007847452395197</v>
      </c>
    </row>
    <row r="2993" spans="1:5" x14ac:dyDescent="0.3">
      <c r="A2993" s="4">
        <v>2990</v>
      </c>
      <c r="B2993" s="5">
        <v>83264.118181793048</v>
      </c>
      <c r="C2993" s="19">
        <v>3.4161482815012754</v>
      </c>
      <c r="D2993" s="5">
        <v>150069.22512649259</v>
      </c>
      <c r="E2993" s="6">
        <v>80.232768212163066</v>
      </c>
    </row>
    <row r="2994" spans="1:5" x14ac:dyDescent="0.3">
      <c r="A2994" s="4">
        <v>2991</v>
      </c>
      <c r="B2994" s="5">
        <v>82959.334260360149</v>
      </c>
      <c r="C2994" s="19">
        <v>3.0375989147271683</v>
      </c>
      <c r="D2994" s="5">
        <v>153615.12869170043</v>
      </c>
      <c r="E2994" s="6">
        <v>85.169191702519754</v>
      </c>
    </row>
    <row r="2995" spans="1:5" x14ac:dyDescent="0.3">
      <c r="A2995" s="4">
        <v>2992</v>
      </c>
      <c r="B2995" s="5">
        <v>60528.594629160834</v>
      </c>
      <c r="C2995" s="19">
        <v>-24.821949068465106</v>
      </c>
      <c r="D2995" s="5">
        <v>126401.18403322781</v>
      </c>
      <c r="E2995" s="6">
        <v>108.82887634786016</v>
      </c>
    </row>
    <row r="2996" spans="1:5" x14ac:dyDescent="0.3">
      <c r="A2996" s="4">
        <v>2993</v>
      </c>
      <c r="B2996" s="5">
        <v>66661.510077452171</v>
      </c>
      <c r="C2996" s="19">
        <v>-17.204712409408128</v>
      </c>
      <c r="D2996" s="5">
        <v>115112.90581053615</v>
      </c>
      <c r="E2996" s="6">
        <v>72.682715523230172</v>
      </c>
    </row>
    <row r="2997" spans="1:5" x14ac:dyDescent="0.3">
      <c r="A2997" s="4">
        <v>2994</v>
      </c>
      <c r="B2997" s="5">
        <v>66088.912425795206</v>
      </c>
      <c r="C2997" s="19">
        <v>-17.915893227057673</v>
      </c>
      <c r="D2997" s="5">
        <v>127033.06705376887</v>
      </c>
      <c r="E2997" s="6">
        <v>92.215399514104448</v>
      </c>
    </row>
    <row r="2998" spans="1:5" x14ac:dyDescent="0.3">
      <c r="A2998" s="4">
        <v>2995</v>
      </c>
      <c r="B2998" s="5">
        <v>41660.342276054958</v>
      </c>
      <c r="C2998" s="19">
        <v>-48.256797425368255</v>
      </c>
      <c r="D2998" s="5">
        <v>85041.478625182615</v>
      </c>
      <c r="E2998" s="6">
        <v>104.13053272983251</v>
      </c>
    </row>
    <row r="2999" spans="1:5" x14ac:dyDescent="0.3">
      <c r="A2999" s="4">
        <v>2996</v>
      </c>
      <c r="B2999" s="5">
        <v>92916.12254295095</v>
      </c>
      <c r="C2999" s="19">
        <v>15.404182695651453</v>
      </c>
      <c r="D2999" s="5">
        <v>177142.27218417751</v>
      </c>
      <c r="E2999" s="6">
        <v>90.647508027783431</v>
      </c>
    </row>
    <row r="3000" spans="1:5" x14ac:dyDescent="0.3">
      <c r="A3000" s="4">
        <v>2997</v>
      </c>
      <c r="B3000" s="5">
        <v>90314.836319487003</v>
      </c>
      <c r="C3000" s="19">
        <v>12.173319177454751</v>
      </c>
      <c r="D3000" s="5">
        <v>168973.89009369013</v>
      </c>
      <c r="E3000" s="6">
        <v>87.094277064233651</v>
      </c>
    </row>
    <row r="3001" spans="1:5" x14ac:dyDescent="0.3">
      <c r="A3001" s="4">
        <v>2998</v>
      </c>
      <c r="B3001" s="5">
        <v>93583.145671717255</v>
      </c>
      <c r="C3001" s="19">
        <v>16.232642352680173</v>
      </c>
      <c r="D3001" s="5">
        <v>139183.56685790731</v>
      </c>
      <c r="E3001" s="6">
        <v>48.727172888751738</v>
      </c>
    </row>
    <row r="3002" spans="1:5" x14ac:dyDescent="0.3">
      <c r="A3002" s="4">
        <v>2999</v>
      </c>
      <c r="B3002" s="5">
        <v>58697.727080696226</v>
      </c>
      <c r="C3002" s="19">
        <v>-27.09593303671431</v>
      </c>
      <c r="D3002" s="5">
        <v>107712.85678798407</v>
      </c>
      <c r="E3002" s="6">
        <v>83.504306120581163</v>
      </c>
    </row>
    <row r="3003" spans="1:5" x14ac:dyDescent="0.3">
      <c r="A3003" s="4">
        <v>3000</v>
      </c>
      <c r="B3003" s="5">
        <v>79652.671106593174</v>
      </c>
      <c r="C3003" s="19">
        <v>-1.069360655544451</v>
      </c>
      <c r="D3003" s="5">
        <v>152342.03186865381</v>
      </c>
      <c r="E3003" s="6">
        <v>91.257907302048835</v>
      </c>
    </row>
    <row r="3004" spans="1:5" x14ac:dyDescent="0.3">
      <c r="A3004" s="4">
        <v>3001</v>
      </c>
      <c r="B3004" s="5">
        <v>152321.81525872991</v>
      </c>
      <c r="C3004" s="19">
        <v>89.187560948057751</v>
      </c>
      <c r="D3004" s="5">
        <v>304912.67552569043</v>
      </c>
      <c r="E3004" s="6">
        <v>100.17662933426416</v>
      </c>
    </row>
    <row r="3005" spans="1:5" x14ac:dyDescent="0.3">
      <c r="A3005" s="4">
        <v>3002</v>
      </c>
      <c r="B3005" s="5">
        <v>57457.070776231994</v>
      </c>
      <c r="C3005" s="19">
        <v>-28.636859658536238</v>
      </c>
      <c r="D3005" s="5">
        <v>110126.70384907504</v>
      </c>
      <c r="E3005" s="6">
        <v>91.667800605370672</v>
      </c>
    </row>
    <row r="3006" spans="1:5" x14ac:dyDescent="0.3">
      <c r="A3006" s="4">
        <v>3003</v>
      </c>
      <c r="B3006" s="5">
        <v>59839.512402593748</v>
      </c>
      <c r="C3006" s="19">
        <v>-25.677806684890225</v>
      </c>
      <c r="D3006" s="5">
        <v>130773.11446301205</v>
      </c>
      <c r="E3006" s="6">
        <v>118.53973940025571</v>
      </c>
    </row>
    <row r="3007" spans="1:5" x14ac:dyDescent="0.3">
      <c r="A3007" s="4">
        <v>3004</v>
      </c>
      <c r="B3007" s="5">
        <v>127970.74351014046</v>
      </c>
      <c r="C3007" s="19">
        <v>58.942911731124511</v>
      </c>
      <c r="D3007" s="5">
        <v>250472.46716134119</v>
      </c>
      <c r="E3007" s="6">
        <v>95.726351423045102</v>
      </c>
    </row>
    <row r="3008" spans="1:5" x14ac:dyDescent="0.3">
      <c r="A3008" s="4">
        <v>3005</v>
      </c>
      <c r="B3008" s="5">
        <v>65989.565355936938</v>
      </c>
      <c r="C3008" s="19">
        <v>-18.039284809556193</v>
      </c>
      <c r="D3008" s="5">
        <v>128425.63495803066</v>
      </c>
      <c r="E3008" s="6">
        <v>94.615064162528967</v>
      </c>
    </row>
    <row r="3009" spans="1:5" x14ac:dyDescent="0.3">
      <c r="A3009" s="4">
        <v>3006</v>
      </c>
      <c r="B3009" s="5">
        <v>160750.67919033644</v>
      </c>
      <c r="C3009" s="19">
        <v>99.656423901634611</v>
      </c>
      <c r="D3009" s="5">
        <v>280289.69539968279</v>
      </c>
      <c r="E3009" s="6">
        <v>74.362992935044772</v>
      </c>
    </row>
    <row r="3010" spans="1:5" x14ac:dyDescent="0.3">
      <c r="A3010" s="4">
        <v>3007</v>
      </c>
      <c r="B3010" s="5">
        <v>65157.751655599786</v>
      </c>
      <c r="C3010" s="19">
        <v>-19.072418539368048</v>
      </c>
      <c r="D3010" s="5">
        <v>135582.49047771166</v>
      </c>
      <c r="E3010" s="6">
        <v>108.08343908849321</v>
      </c>
    </row>
    <row r="3011" spans="1:5" x14ac:dyDescent="0.3">
      <c r="A3011" s="4">
        <v>3008</v>
      </c>
      <c r="B3011" s="5">
        <v>26742.49383429583</v>
      </c>
      <c r="C3011" s="19">
        <v>-66.78514385096301</v>
      </c>
      <c r="D3011" s="5">
        <v>58876.834263852565</v>
      </c>
      <c r="E3011" s="6">
        <v>120.1620934407626</v>
      </c>
    </row>
    <row r="3012" spans="1:5" x14ac:dyDescent="0.3">
      <c r="A3012" s="4">
        <v>3009</v>
      </c>
      <c r="B3012" s="5">
        <v>100871.43336301285</v>
      </c>
      <c r="C3012" s="19">
        <v>25.284880664453706</v>
      </c>
      <c r="D3012" s="5">
        <v>179414.48567469511</v>
      </c>
      <c r="E3012" s="6">
        <v>77.864514950455856</v>
      </c>
    </row>
    <row r="3013" spans="1:5" x14ac:dyDescent="0.3">
      <c r="A3013" s="4">
        <v>3010</v>
      </c>
      <c r="B3013" s="5">
        <v>88701.721313908216</v>
      </c>
      <c r="C3013" s="19">
        <v>10.169789394699796</v>
      </c>
      <c r="D3013" s="5">
        <v>163522.90767123917</v>
      </c>
      <c r="E3013" s="6">
        <v>84.351448031707093</v>
      </c>
    </row>
    <row r="3014" spans="1:5" x14ac:dyDescent="0.3">
      <c r="A3014" s="4">
        <v>3011</v>
      </c>
      <c r="B3014" s="5">
        <v>44282.334622191011</v>
      </c>
      <c r="C3014" s="19">
        <v>-45.000216377227645</v>
      </c>
      <c r="D3014" s="5">
        <v>88892.138372432644</v>
      </c>
      <c r="E3014" s="6">
        <v>100.73950285332636</v>
      </c>
    </row>
    <row r="3015" spans="1:5" x14ac:dyDescent="0.3">
      <c r="A3015" s="4">
        <v>3012</v>
      </c>
      <c r="B3015" s="5">
        <v>67871.346184517432</v>
      </c>
      <c r="C3015" s="19">
        <v>-15.702065255067229</v>
      </c>
      <c r="D3015" s="5">
        <v>115836.60097264282</v>
      </c>
      <c r="E3015" s="6">
        <v>70.670846365306133</v>
      </c>
    </row>
    <row r="3016" spans="1:5" x14ac:dyDescent="0.3">
      <c r="A3016" s="4">
        <v>3013</v>
      </c>
      <c r="B3016" s="5">
        <v>97572.210859293962</v>
      </c>
      <c r="C3016" s="19">
        <v>21.187162570408415</v>
      </c>
      <c r="D3016" s="5">
        <v>187438.29832059072</v>
      </c>
      <c r="E3016" s="6">
        <v>92.102133045739862</v>
      </c>
    </row>
    <row r="3017" spans="1:5" x14ac:dyDescent="0.3">
      <c r="A3017" s="4">
        <v>3014</v>
      </c>
      <c r="B3017" s="5">
        <v>54140.429587652121</v>
      </c>
      <c r="C3017" s="19">
        <v>-32.756212201318732</v>
      </c>
      <c r="D3017" s="5">
        <v>98671.087526383199</v>
      </c>
      <c r="E3017" s="6">
        <v>82.250285559033031</v>
      </c>
    </row>
    <row r="3018" spans="1:5" x14ac:dyDescent="0.3">
      <c r="A3018" s="4">
        <v>3015</v>
      </c>
      <c r="B3018" s="5">
        <v>54289.8406451142</v>
      </c>
      <c r="C3018" s="19">
        <v>-32.570639875438104</v>
      </c>
      <c r="D3018" s="5">
        <v>103551.1427021541</v>
      </c>
      <c r="E3018" s="6">
        <v>90.737606652881482</v>
      </c>
    </row>
    <row r="3019" spans="1:5" x14ac:dyDescent="0.3">
      <c r="A3019" s="4">
        <v>3016</v>
      </c>
      <c r="B3019" s="5">
        <v>85391.931809216825</v>
      </c>
      <c r="C3019" s="19">
        <v>6.0589468172236378</v>
      </c>
      <c r="D3019" s="5">
        <v>154610.0326566938</v>
      </c>
      <c r="E3019" s="6">
        <v>81.059298438316731</v>
      </c>
    </row>
    <row r="3020" spans="1:5" x14ac:dyDescent="0.3">
      <c r="A3020" s="4">
        <v>3017</v>
      </c>
      <c r="B3020" s="5">
        <v>71710.967704775991</v>
      </c>
      <c r="C3020" s="19">
        <v>-10.933157865488585</v>
      </c>
      <c r="D3020" s="5">
        <v>114011.82806544039</v>
      </c>
      <c r="E3020" s="6">
        <v>58.98799265240865</v>
      </c>
    </row>
    <row r="3021" spans="1:5" x14ac:dyDescent="0.3">
      <c r="A3021" s="4">
        <v>3018</v>
      </c>
      <c r="B3021" s="5">
        <v>54049.258686651279</v>
      </c>
      <c r="C3021" s="19">
        <v>-32.869448774559984</v>
      </c>
      <c r="D3021" s="5">
        <v>110799.51207617781</v>
      </c>
      <c r="E3021" s="6">
        <v>104.99728353081433</v>
      </c>
    </row>
    <row r="3022" spans="1:5" x14ac:dyDescent="0.3">
      <c r="A3022" s="4">
        <v>3019</v>
      </c>
      <c r="B3022" s="5">
        <v>134167.81082845019</v>
      </c>
      <c r="C3022" s="19">
        <v>66.639826641116358</v>
      </c>
      <c r="D3022" s="5">
        <v>240457.65213416688</v>
      </c>
      <c r="E3022" s="6">
        <v>79.221566372295612</v>
      </c>
    </row>
    <row r="3023" spans="1:5" x14ac:dyDescent="0.3">
      <c r="A3023" s="4">
        <v>3020</v>
      </c>
      <c r="B3023" s="5">
        <v>120042.25331221998</v>
      </c>
      <c r="C3023" s="19">
        <v>49.095525655811898</v>
      </c>
      <c r="D3023" s="5">
        <v>249956.08252845641</v>
      </c>
      <c r="E3023" s="6">
        <v>108.22341769805111</v>
      </c>
    </row>
    <row r="3024" spans="1:5" x14ac:dyDescent="0.3">
      <c r="A3024" s="4">
        <v>3021</v>
      </c>
      <c r="B3024" s="5">
        <v>163984.11141669727</v>
      </c>
      <c r="C3024" s="19">
        <v>103.67242880124137</v>
      </c>
      <c r="D3024" s="5">
        <v>244011.52106335736</v>
      </c>
      <c r="E3024" s="6">
        <v>48.801929013295556</v>
      </c>
    </row>
    <row r="3025" spans="1:5" x14ac:dyDescent="0.3">
      <c r="A3025" s="4">
        <v>3022</v>
      </c>
      <c r="B3025" s="5">
        <v>99871.064715046348</v>
      </c>
      <c r="C3025" s="19">
        <v>24.04239741124259</v>
      </c>
      <c r="D3025" s="5">
        <v>156843.10567420485</v>
      </c>
      <c r="E3025" s="6">
        <v>57.045592856862001</v>
      </c>
    </row>
    <row r="3026" spans="1:5" x14ac:dyDescent="0.3">
      <c r="A3026" s="4">
        <v>3023</v>
      </c>
      <c r="B3026" s="5">
        <v>50879.72537971702</v>
      </c>
      <c r="C3026" s="19">
        <v>-36.806089594287592</v>
      </c>
      <c r="D3026" s="5">
        <v>84517.12688507163</v>
      </c>
      <c r="E3026" s="6">
        <v>66.111601928504143</v>
      </c>
    </row>
    <row r="3027" spans="1:5" x14ac:dyDescent="0.3">
      <c r="A3027" s="4">
        <v>3024</v>
      </c>
      <c r="B3027" s="5">
        <v>64036.7645902734</v>
      </c>
      <c r="C3027" s="19">
        <v>-20.464712928606989</v>
      </c>
      <c r="D3027" s="5">
        <v>112015.10464619039</v>
      </c>
      <c r="E3027" s="6">
        <v>74.92311699833202</v>
      </c>
    </row>
    <row r="3028" spans="1:5" x14ac:dyDescent="0.3">
      <c r="A3028" s="4">
        <v>3025</v>
      </c>
      <c r="B3028" s="5">
        <v>63806.323142156805</v>
      </c>
      <c r="C3028" s="19">
        <v>-20.750927056481352</v>
      </c>
      <c r="D3028" s="5">
        <v>115278.26607749153</v>
      </c>
      <c r="E3028" s="6">
        <v>80.66903153259311</v>
      </c>
    </row>
    <row r="3029" spans="1:5" x14ac:dyDescent="0.3">
      <c r="A3029" s="4">
        <v>3026</v>
      </c>
      <c r="B3029" s="5">
        <v>75475.290512095555</v>
      </c>
      <c r="C3029" s="19">
        <v>-6.2577733886933729</v>
      </c>
      <c r="D3029" s="5">
        <v>120724.44609547009</v>
      </c>
      <c r="E3029" s="6">
        <v>59.952277462413974</v>
      </c>
    </row>
    <row r="3030" spans="1:5" x14ac:dyDescent="0.3">
      <c r="A3030" s="4">
        <v>3027</v>
      </c>
      <c r="B3030" s="5">
        <v>69533.832369806973</v>
      </c>
      <c r="C3030" s="19">
        <v>-13.637215213918951</v>
      </c>
      <c r="D3030" s="5">
        <v>139422.95399844981</v>
      </c>
      <c r="E3030" s="6">
        <v>100.51095883360249</v>
      </c>
    </row>
    <row r="3031" spans="1:5" x14ac:dyDescent="0.3">
      <c r="A3031" s="4">
        <v>3028</v>
      </c>
      <c r="B3031" s="5">
        <v>51984.284001398024</v>
      </c>
      <c r="C3031" s="19">
        <v>-35.43419974906071</v>
      </c>
      <c r="D3031" s="5">
        <v>94419.94071246314</v>
      </c>
      <c r="E3031" s="6">
        <v>81.631703747086121</v>
      </c>
    </row>
    <row r="3032" spans="1:5" x14ac:dyDescent="0.3">
      <c r="A3032" s="4">
        <v>3029</v>
      </c>
      <c r="B3032" s="5">
        <v>55581.43301384613</v>
      </c>
      <c r="C3032" s="19">
        <v>-30.966449368881538</v>
      </c>
      <c r="D3032" s="5">
        <v>104364.14093601775</v>
      </c>
      <c r="E3032" s="6">
        <v>87.767992433766779</v>
      </c>
    </row>
    <row r="3033" spans="1:5" x14ac:dyDescent="0.3">
      <c r="A3033" s="4">
        <v>3030</v>
      </c>
      <c r="B3033" s="5">
        <v>39309.023582569622</v>
      </c>
      <c r="C3033" s="19">
        <v>-51.177194926385894</v>
      </c>
      <c r="D3033" s="5">
        <v>81587.624617055291</v>
      </c>
      <c r="E3033" s="6">
        <v>107.55444216435031</v>
      </c>
    </row>
    <row r="3034" spans="1:5" x14ac:dyDescent="0.3">
      <c r="A3034" s="4">
        <v>3031</v>
      </c>
      <c r="B3034" s="5">
        <v>55749.636957558301</v>
      </c>
      <c r="C3034" s="19">
        <v>-30.757535801256982</v>
      </c>
      <c r="D3034" s="5">
        <v>100845.01938925801</v>
      </c>
      <c r="E3034" s="6">
        <v>80.889105100416032</v>
      </c>
    </row>
    <row r="3035" spans="1:5" x14ac:dyDescent="0.3">
      <c r="A3035" s="4">
        <v>3032</v>
      </c>
      <c r="B3035" s="5">
        <v>218934.0539947139</v>
      </c>
      <c r="C3035" s="19">
        <v>171.92165228188776</v>
      </c>
      <c r="D3035" s="5">
        <v>444772.80462303263</v>
      </c>
      <c r="E3035" s="6">
        <v>103.15377918949582</v>
      </c>
    </row>
    <row r="3036" spans="1:5" x14ac:dyDescent="0.3">
      <c r="A3036" s="4">
        <v>3033</v>
      </c>
      <c r="B3036" s="5">
        <v>47132.969183189809</v>
      </c>
      <c r="C3036" s="19">
        <v>-41.459655894584031</v>
      </c>
      <c r="D3036" s="5">
        <v>80629.544340148306</v>
      </c>
      <c r="E3036" s="6">
        <v>71.068247423090853</v>
      </c>
    </row>
    <row r="3037" spans="1:5" x14ac:dyDescent="0.3">
      <c r="A3037" s="4">
        <v>3034</v>
      </c>
      <c r="B3037" s="5">
        <v>62947.4728660127</v>
      </c>
      <c r="C3037" s="19">
        <v>-21.817640899716995</v>
      </c>
      <c r="D3037" s="5">
        <v>122359.98387380331</v>
      </c>
      <c r="E3037" s="6">
        <v>94.384267235403627</v>
      </c>
    </row>
    <row r="3038" spans="1:5" x14ac:dyDescent="0.3">
      <c r="A3038" s="4">
        <v>3035</v>
      </c>
      <c r="B3038" s="5">
        <v>71335.607011969158</v>
      </c>
      <c r="C3038" s="19">
        <v>-11.399365373764903</v>
      </c>
      <c r="D3038" s="5">
        <v>138756.16110392803</v>
      </c>
      <c r="E3038" s="6">
        <v>94.511782987487024</v>
      </c>
    </row>
    <row r="3039" spans="1:5" x14ac:dyDescent="0.3">
      <c r="A3039" s="4">
        <v>3036</v>
      </c>
      <c r="B3039" s="5">
        <v>56605.618784213766</v>
      </c>
      <c r="C3039" s="19">
        <v>-29.69438464509631</v>
      </c>
      <c r="D3039" s="5">
        <v>99266.220114218813</v>
      </c>
      <c r="E3039" s="6">
        <v>75.36460557498981</v>
      </c>
    </row>
    <row r="3040" spans="1:5" x14ac:dyDescent="0.3">
      <c r="A3040" s="4">
        <v>3037</v>
      </c>
      <c r="B3040" s="5">
        <v>199542.54360336348</v>
      </c>
      <c r="C3040" s="19">
        <v>147.83690415958461</v>
      </c>
      <c r="D3040" s="5">
        <v>262865.5501092347</v>
      </c>
      <c r="E3040" s="6">
        <v>31.734088060809835</v>
      </c>
    </row>
    <row r="3041" spans="1:5" x14ac:dyDescent="0.3">
      <c r="A3041" s="4">
        <v>3038</v>
      </c>
      <c r="B3041" s="5">
        <v>44682.294404308304</v>
      </c>
      <c r="C3041" s="19">
        <v>-44.5034561756271</v>
      </c>
      <c r="D3041" s="5">
        <v>76489.755131323938</v>
      </c>
      <c r="E3041" s="6">
        <v>71.185826849457243</v>
      </c>
    </row>
    <row r="3042" spans="1:5" x14ac:dyDescent="0.3">
      <c r="A3042" s="4">
        <v>3039</v>
      </c>
      <c r="B3042" s="5">
        <v>82656.233770874038</v>
      </c>
      <c r="C3042" s="19">
        <v>2.6611404131616596</v>
      </c>
      <c r="D3042" s="5">
        <v>149917.89258270198</v>
      </c>
      <c r="E3042" s="6">
        <v>81.375179757499723</v>
      </c>
    </row>
    <row r="3043" spans="1:5" x14ac:dyDescent="0.3">
      <c r="A3043" s="4">
        <v>3040</v>
      </c>
      <c r="B3043" s="5">
        <v>126992.58005776524</v>
      </c>
      <c r="C3043" s="19">
        <v>57.728007894474018</v>
      </c>
      <c r="D3043" s="5">
        <v>192130.19413759469</v>
      </c>
      <c r="E3043" s="6">
        <v>51.292456653924376</v>
      </c>
    </row>
    <row r="3044" spans="1:5" x14ac:dyDescent="0.3">
      <c r="A3044" s="4">
        <v>3041</v>
      </c>
      <c r="B3044" s="5">
        <v>61701.371208294455</v>
      </c>
      <c r="C3044" s="19">
        <v>-23.365330788500245</v>
      </c>
      <c r="D3044" s="5">
        <v>114586.04522174629</v>
      </c>
      <c r="E3044" s="6">
        <v>85.710694880541965</v>
      </c>
    </row>
    <row r="3045" spans="1:5" x14ac:dyDescent="0.3">
      <c r="A3045" s="4">
        <v>3042</v>
      </c>
      <c r="B3045" s="5">
        <v>68171.149511499025</v>
      </c>
      <c r="C3045" s="19">
        <v>-15.32970191302447</v>
      </c>
      <c r="D3045" s="5">
        <v>136499.96372930534</v>
      </c>
      <c r="E3045" s="6">
        <v>100.23127775816762</v>
      </c>
    </row>
    <row r="3046" spans="1:5" x14ac:dyDescent="0.3">
      <c r="A3046" s="4">
        <v>3043</v>
      </c>
      <c r="B3046" s="5">
        <v>78031.806262656741</v>
      </c>
      <c r="C3046" s="19">
        <v>-3.0825159342543627</v>
      </c>
      <c r="D3046" s="5">
        <v>135232.29846707292</v>
      </c>
      <c r="E3046" s="6">
        <v>73.30407297234423</v>
      </c>
    </row>
    <row r="3047" spans="1:5" x14ac:dyDescent="0.3">
      <c r="A3047" s="4">
        <v>3044</v>
      </c>
      <c r="B3047" s="5">
        <v>92383.297580254599</v>
      </c>
      <c r="C3047" s="19">
        <v>14.742400567244307</v>
      </c>
      <c r="D3047" s="5">
        <v>144721.48910610171</v>
      </c>
      <c r="E3047" s="6">
        <v>56.653305193376788</v>
      </c>
    </row>
    <row r="3048" spans="1:5" x14ac:dyDescent="0.3">
      <c r="A3048" s="4">
        <v>3045</v>
      </c>
      <c r="B3048" s="5">
        <v>33019.321311947846</v>
      </c>
      <c r="C3048" s="19">
        <v>-58.98916479850962</v>
      </c>
      <c r="D3048" s="5">
        <v>54560.954420676069</v>
      </c>
      <c r="E3048" s="6">
        <v>65.239478744021042</v>
      </c>
    </row>
    <row r="3049" spans="1:5" x14ac:dyDescent="0.3">
      <c r="A3049" s="4">
        <v>3046</v>
      </c>
      <c r="B3049" s="5">
        <v>55180.083766873562</v>
      </c>
      <c r="C3049" s="19">
        <v>-31.46493532110123</v>
      </c>
      <c r="D3049" s="5">
        <v>115969.99986799134</v>
      </c>
      <c r="E3049" s="6">
        <v>110.16640778934806</v>
      </c>
    </row>
    <row r="3050" spans="1:5" x14ac:dyDescent="0.3">
      <c r="A3050" s="4">
        <v>3047</v>
      </c>
      <c r="B3050" s="5">
        <v>38520.284220849018</v>
      </c>
      <c r="C3050" s="19">
        <v>-52.15682923427665</v>
      </c>
      <c r="D3050" s="5">
        <v>80131.984510841809</v>
      </c>
      <c r="E3050" s="6">
        <v>108.02542382974045</v>
      </c>
    </row>
    <row r="3051" spans="1:5" x14ac:dyDescent="0.3">
      <c r="A3051" s="4">
        <v>3048</v>
      </c>
      <c r="B3051" s="5">
        <v>49523.275178375836</v>
      </c>
      <c r="C3051" s="19">
        <v>-38.490835175236363</v>
      </c>
      <c r="D3051" s="5">
        <v>103758.61850767184</v>
      </c>
      <c r="E3051" s="6">
        <v>109.51485565917835</v>
      </c>
    </row>
    <row r="3052" spans="1:5" x14ac:dyDescent="0.3">
      <c r="A3052" s="4">
        <v>3049</v>
      </c>
      <c r="B3052" s="5">
        <v>70049.293741759029</v>
      </c>
      <c r="C3052" s="19">
        <v>-12.996999105957618</v>
      </c>
      <c r="D3052" s="5">
        <v>129384.56055382366</v>
      </c>
      <c r="E3052" s="6">
        <v>84.705017913253613</v>
      </c>
    </row>
    <row r="3053" spans="1:5" x14ac:dyDescent="0.3">
      <c r="A3053" s="4">
        <v>3050</v>
      </c>
      <c r="B3053" s="5">
        <v>46036.755890247958</v>
      </c>
      <c r="C3053" s="19">
        <v>-42.821180629686751</v>
      </c>
      <c r="D3053" s="5">
        <v>77698.388670766391</v>
      </c>
      <c r="E3053" s="6">
        <v>68.77468268181201</v>
      </c>
    </row>
    <row r="3054" spans="1:5" x14ac:dyDescent="0.3">
      <c r="A3054" s="4">
        <v>3051</v>
      </c>
      <c r="B3054" s="5">
        <v>83459.526170153142</v>
      </c>
      <c r="C3054" s="19">
        <v>3.658849963100975</v>
      </c>
      <c r="D3054" s="5">
        <v>144340.81322654514</v>
      </c>
      <c r="E3054" s="6">
        <v>72.947079680599018</v>
      </c>
    </row>
    <row r="3055" spans="1:5" x14ac:dyDescent="0.3">
      <c r="A3055" s="4">
        <v>3052</v>
      </c>
      <c r="B3055" s="5">
        <v>91050.979399356147</v>
      </c>
      <c r="C3055" s="19">
        <v>13.087627568230396</v>
      </c>
      <c r="D3055" s="5">
        <v>147642.47151088921</v>
      </c>
      <c r="E3055" s="6">
        <v>62.153633585113575</v>
      </c>
    </row>
    <row r="3056" spans="1:5" x14ac:dyDescent="0.3">
      <c r="A3056" s="4">
        <v>3053</v>
      </c>
      <c r="B3056" s="5">
        <v>71261.535679039589</v>
      </c>
      <c r="C3056" s="19">
        <v>-11.491363849421944</v>
      </c>
      <c r="D3056" s="5">
        <v>135907.69859421623</v>
      </c>
      <c r="E3056" s="6">
        <v>90.716769290998101</v>
      </c>
    </row>
    <row r="3057" spans="1:5" x14ac:dyDescent="0.3">
      <c r="A3057" s="4">
        <v>3054</v>
      </c>
      <c r="B3057" s="5">
        <v>67559.897244727792</v>
      </c>
      <c r="C3057" s="19">
        <v>-16.088892743819098</v>
      </c>
      <c r="D3057" s="5">
        <v>130954.97074203315</v>
      </c>
      <c r="E3057" s="6">
        <v>93.835361039203718</v>
      </c>
    </row>
    <row r="3058" spans="1:5" x14ac:dyDescent="0.3">
      <c r="A3058" s="4">
        <v>3055</v>
      </c>
      <c r="B3058" s="5">
        <v>56613.598549242073</v>
      </c>
      <c r="C3058" s="19">
        <v>-29.684473574380142</v>
      </c>
      <c r="D3058" s="5">
        <v>116626.11021036147</v>
      </c>
      <c r="E3058" s="6">
        <v>106.00370440843992</v>
      </c>
    </row>
    <row r="3059" spans="1:5" x14ac:dyDescent="0.3">
      <c r="A3059" s="4">
        <v>3056</v>
      </c>
      <c r="B3059" s="5">
        <v>66906.74879581471</v>
      </c>
      <c r="C3059" s="19">
        <v>-16.900119696288016</v>
      </c>
      <c r="D3059" s="5">
        <v>116229.56448495791</v>
      </c>
      <c r="E3059" s="6">
        <v>73.718745234006263</v>
      </c>
    </row>
    <row r="3060" spans="1:5" x14ac:dyDescent="0.3">
      <c r="A3060" s="4">
        <v>3057</v>
      </c>
      <c r="B3060" s="5">
        <v>60679.580732054885</v>
      </c>
      <c r="C3060" s="19">
        <v>-24.634420496178471</v>
      </c>
      <c r="D3060" s="5">
        <v>101166.47221139322</v>
      </c>
      <c r="E3060" s="6">
        <v>66.722431155412607</v>
      </c>
    </row>
    <row r="3061" spans="1:5" x14ac:dyDescent="0.3">
      <c r="A3061" s="4">
        <v>3058</v>
      </c>
      <c r="B3061" s="5">
        <v>58355.025228111299</v>
      </c>
      <c r="C3061" s="19">
        <v>-27.521577436453086</v>
      </c>
      <c r="D3061" s="5">
        <v>112838.71601953285</v>
      </c>
      <c r="E3061" s="6">
        <v>93.365893645737273</v>
      </c>
    </row>
    <row r="3062" spans="1:5" x14ac:dyDescent="0.3">
      <c r="A3062" s="4">
        <v>3059</v>
      </c>
      <c r="B3062" s="5">
        <v>124841.47058027693</v>
      </c>
      <c r="C3062" s="19">
        <v>55.056275321651107</v>
      </c>
      <c r="D3062" s="5">
        <v>245588.82993729503</v>
      </c>
      <c r="E3062" s="6">
        <v>96.720551909370371</v>
      </c>
    </row>
    <row r="3063" spans="1:5" x14ac:dyDescent="0.3">
      <c r="A3063" s="4">
        <v>3060</v>
      </c>
      <c r="B3063" s="5">
        <v>71886.580396366684</v>
      </c>
      <c r="C3063" s="19">
        <v>-10.715042444942069</v>
      </c>
      <c r="D3063" s="5">
        <v>139215.36649513958</v>
      </c>
      <c r="E3063" s="6">
        <v>93.659742510405806</v>
      </c>
    </row>
    <row r="3064" spans="1:5" x14ac:dyDescent="0.3">
      <c r="A3064" s="4">
        <v>3061</v>
      </c>
      <c r="B3064" s="5">
        <v>124537.00666201915</v>
      </c>
      <c r="C3064" s="19">
        <v>54.678123406943158</v>
      </c>
      <c r="D3064" s="5">
        <v>237128.68269462202</v>
      </c>
      <c r="E3064" s="6">
        <v>90.408208010142161</v>
      </c>
    </row>
    <row r="3065" spans="1:5" x14ac:dyDescent="0.3">
      <c r="A3065" s="4">
        <v>3062</v>
      </c>
      <c r="B3065" s="5">
        <v>98416.826898991232</v>
      </c>
      <c r="C3065" s="19">
        <v>22.236197130668337</v>
      </c>
      <c r="D3065" s="5">
        <v>174499.40220892985</v>
      </c>
      <c r="E3065" s="6">
        <v>77.306470557138496</v>
      </c>
    </row>
    <row r="3066" spans="1:5" x14ac:dyDescent="0.3">
      <c r="A3066" s="4">
        <v>3063</v>
      </c>
      <c r="B3066" s="5">
        <v>67643.738475430291</v>
      </c>
      <c r="C3066" s="19">
        <v>-15.984759807137989</v>
      </c>
      <c r="D3066" s="5">
        <v>110091.86625651126</v>
      </c>
      <c r="E3066" s="6">
        <v>62.752486390886084</v>
      </c>
    </row>
    <row r="3067" spans="1:5" x14ac:dyDescent="0.3">
      <c r="A3067" s="4">
        <v>3064</v>
      </c>
      <c r="B3067" s="5">
        <v>48035.944360560236</v>
      </c>
      <c r="C3067" s="19">
        <v>-40.33813780399943</v>
      </c>
      <c r="D3067" s="5">
        <v>90461.219479812411</v>
      </c>
      <c r="E3067" s="6">
        <v>88.319852318934139</v>
      </c>
    </row>
    <row r="3068" spans="1:5" x14ac:dyDescent="0.3">
      <c r="A3068" s="4">
        <v>3065</v>
      </c>
      <c r="B3068" s="5">
        <v>55451.644623131484</v>
      </c>
      <c r="C3068" s="19">
        <v>-31.127649844578144</v>
      </c>
      <c r="D3068" s="5">
        <v>89229.07252335544</v>
      </c>
      <c r="E3068" s="6">
        <v>60.913302265040137</v>
      </c>
    </row>
    <row r="3069" spans="1:5" x14ac:dyDescent="0.3">
      <c r="A3069" s="4">
        <v>3066</v>
      </c>
      <c r="B3069" s="5">
        <v>125883.10848260274</v>
      </c>
      <c r="C3069" s="19">
        <v>56.350016036317221</v>
      </c>
      <c r="D3069" s="5">
        <v>217539.33494690721</v>
      </c>
      <c r="E3069" s="6">
        <v>72.810584016497756</v>
      </c>
    </row>
    <row r="3070" spans="1:5" x14ac:dyDescent="0.3">
      <c r="A3070" s="4">
        <v>3067</v>
      </c>
      <c r="B3070" s="5">
        <v>80838.931770379073</v>
      </c>
      <c r="C3070" s="19">
        <v>0.40400519982612992</v>
      </c>
      <c r="D3070" s="5">
        <v>151707.70814277834</v>
      </c>
      <c r="E3070" s="6">
        <v>87.66664133279275</v>
      </c>
    </row>
    <row r="3071" spans="1:5" x14ac:dyDescent="0.3">
      <c r="A3071" s="4">
        <v>3068</v>
      </c>
      <c r="B3071" s="5">
        <v>60440.712646708162</v>
      </c>
      <c r="C3071" s="19">
        <v>-24.931100721386652</v>
      </c>
      <c r="D3071" s="5">
        <v>108275.34118098163</v>
      </c>
      <c r="E3071" s="6">
        <v>79.143058444528009</v>
      </c>
    </row>
    <row r="3072" spans="1:5" x14ac:dyDescent="0.3">
      <c r="A3072" s="4">
        <v>3069</v>
      </c>
      <c r="B3072" s="5">
        <v>57379.666923562108</v>
      </c>
      <c r="C3072" s="19">
        <v>-28.732997208300372</v>
      </c>
      <c r="D3072" s="5">
        <v>107793.65856719788</v>
      </c>
      <c r="E3072" s="6">
        <v>87.860376935952573</v>
      </c>
    </row>
    <row r="3073" spans="1:5" x14ac:dyDescent="0.3">
      <c r="A3073" s="4">
        <v>3070</v>
      </c>
      <c r="B3073" s="5">
        <v>34253.696960308371</v>
      </c>
      <c r="C3073" s="19">
        <v>-57.456038910990884</v>
      </c>
      <c r="D3073" s="5">
        <v>67770.241390054653</v>
      </c>
      <c r="E3073" s="6">
        <v>97.847962129704513</v>
      </c>
    </row>
    <row r="3074" spans="1:5" x14ac:dyDescent="0.3">
      <c r="A3074" s="4">
        <v>3071</v>
      </c>
      <c r="B3074" s="5">
        <v>34953.345333451769</v>
      </c>
      <c r="C3074" s="19">
        <v>-56.587057872316649</v>
      </c>
      <c r="D3074" s="5">
        <v>78673.14405087223</v>
      </c>
      <c r="E3074" s="6">
        <v>125.08044165826621</v>
      </c>
    </row>
    <row r="3075" spans="1:5" x14ac:dyDescent="0.3">
      <c r="A3075" s="4">
        <v>3072</v>
      </c>
      <c r="B3075" s="5">
        <v>96073.109370765698</v>
      </c>
      <c r="C3075" s="19">
        <v>19.325240469844356</v>
      </c>
      <c r="D3075" s="5">
        <v>155846.68084954971</v>
      </c>
      <c r="E3075" s="6">
        <v>62.21675541707058</v>
      </c>
    </row>
    <row r="3076" spans="1:5" x14ac:dyDescent="0.3">
      <c r="A3076" s="4">
        <v>3073</v>
      </c>
      <c r="B3076" s="5">
        <v>57731.629992725364</v>
      </c>
      <c r="C3076" s="19">
        <v>-28.295850142493112</v>
      </c>
      <c r="D3076" s="5">
        <v>126424.77342178726</v>
      </c>
      <c r="E3076" s="6">
        <v>118.98701532888948</v>
      </c>
    </row>
    <row r="3077" spans="1:5" x14ac:dyDescent="0.3">
      <c r="A3077" s="4">
        <v>3074</v>
      </c>
      <c r="B3077" s="5">
        <v>53040.470513527122</v>
      </c>
      <c r="C3077" s="19">
        <v>-34.122389291730379</v>
      </c>
      <c r="D3077" s="5">
        <v>101608.90579791526</v>
      </c>
      <c r="E3077" s="6">
        <v>91.568635824981101</v>
      </c>
    </row>
    <row r="3078" spans="1:5" x14ac:dyDescent="0.3">
      <c r="A3078" s="4">
        <v>3075</v>
      </c>
      <c r="B3078" s="5">
        <v>114227.41180315361</v>
      </c>
      <c r="C3078" s="19">
        <v>41.873344902968341</v>
      </c>
      <c r="D3078" s="5">
        <v>195891.96364397116</v>
      </c>
      <c r="E3078" s="6">
        <v>71.492954757259895</v>
      </c>
    </row>
    <row r="3079" spans="1:5" x14ac:dyDescent="0.3">
      <c r="A3079" s="4">
        <v>3076</v>
      </c>
      <c r="B3079" s="5">
        <v>66806.170202066744</v>
      </c>
      <c r="C3079" s="19">
        <v>-17.025040862717411</v>
      </c>
      <c r="D3079" s="5">
        <v>130954.47441703042</v>
      </c>
      <c r="E3079" s="6">
        <v>96.021526186781998</v>
      </c>
    </row>
    <row r="3080" spans="1:5" x14ac:dyDescent="0.3">
      <c r="A3080" s="4">
        <v>3077</v>
      </c>
      <c r="B3080" s="5">
        <v>97936.397884958365</v>
      </c>
      <c r="C3080" s="19">
        <v>21.639492100471756</v>
      </c>
      <c r="D3080" s="5">
        <v>181797.46369905674</v>
      </c>
      <c r="E3080" s="6">
        <v>85.628088867028097</v>
      </c>
    </row>
    <row r="3081" spans="1:5" x14ac:dyDescent="0.3">
      <c r="A3081" s="4">
        <v>3078</v>
      </c>
      <c r="B3081" s="5">
        <v>72815.287886587961</v>
      </c>
      <c r="C3081" s="19">
        <v>-9.5615641686313761</v>
      </c>
      <c r="D3081" s="5">
        <v>133202.08855922826</v>
      </c>
      <c r="E3081" s="6">
        <v>82.931486539879629</v>
      </c>
    </row>
    <row r="3082" spans="1:5" x14ac:dyDescent="0.3">
      <c r="A3082" s="4">
        <v>3079</v>
      </c>
      <c r="B3082" s="5">
        <v>41456.920053160669</v>
      </c>
      <c r="C3082" s="19">
        <v>-48.509452989685379</v>
      </c>
      <c r="D3082" s="5">
        <v>87694.73130967241</v>
      </c>
      <c r="E3082" s="6">
        <v>111.53219100024914</v>
      </c>
    </row>
    <row r="3083" spans="1:5" x14ac:dyDescent="0.3">
      <c r="A3083" s="4">
        <v>3080</v>
      </c>
      <c r="B3083" s="5">
        <v>94221.558303178754</v>
      </c>
      <c r="C3083" s="19">
        <v>17.025567045833803</v>
      </c>
      <c r="D3083" s="5">
        <v>192812.4192166595</v>
      </c>
      <c r="E3083" s="6">
        <v>104.63726421955664</v>
      </c>
    </row>
    <row r="3084" spans="1:5" x14ac:dyDescent="0.3">
      <c r="A3084" s="4">
        <v>3081</v>
      </c>
      <c r="B3084" s="5">
        <v>36779.781751493021</v>
      </c>
      <c r="C3084" s="19">
        <v>-54.318577480528987</v>
      </c>
      <c r="D3084" s="5">
        <v>71498.271395948264</v>
      </c>
      <c r="E3084" s="6">
        <v>94.395583636234875</v>
      </c>
    </row>
    <row r="3085" spans="1:5" x14ac:dyDescent="0.3">
      <c r="A3085" s="4">
        <v>3082</v>
      </c>
      <c r="B3085" s="5">
        <v>79298.557432987232</v>
      </c>
      <c r="C3085" s="19">
        <v>-1.5091788266584873</v>
      </c>
      <c r="D3085" s="5">
        <v>158746.83168476768</v>
      </c>
      <c r="E3085" s="6">
        <v>100.18880144058073</v>
      </c>
    </row>
    <row r="3086" spans="1:5" x14ac:dyDescent="0.3">
      <c r="A3086" s="4">
        <v>3083</v>
      </c>
      <c r="B3086" s="5">
        <v>68420.314790665507</v>
      </c>
      <c r="C3086" s="19">
        <v>-15.02023231171766</v>
      </c>
      <c r="D3086" s="5">
        <v>115149.94156894249</v>
      </c>
      <c r="E3086" s="6">
        <v>68.297883342466363</v>
      </c>
    </row>
    <row r="3087" spans="1:5" x14ac:dyDescent="0.3">
      <c r="A3087" s="4">
        <v>3084</v>
      </c>
      <c r="B3087" s="5">
        <v>52533.220767873543</v>
      </c>
      <c r="C3087" s="19">
        <v>-34.752406351392636</v>
      </c>
      <c r="D3087" s="5">
        <v>105375.59201776337</v>
      </c>
      <c r="E3087" s="6">
        <v>100.58848568105563</v>
      </c>
    </row>
    <row r="3088" spans="1:5" x14ac:dyDescent="0.3">
      <c r="A3088" s="4">
        <v>3085</v>
      </c>
      <c r="B3088" s="5">
        <v>52776.625383097489</v>
      </c>
      <c r="C3088" s="19">
        <v>-34.450091640925848</v>
      </c>
      <c r="D3088" s="5">
        <v>117687.17879801999</v>
      </c>
      <c r="E3088" s="6">
        <v>122.99110248854805</v>
      </c>
    </row>
    <row r="3089" spans="1:5" x14ac:dyDescent="0.3">
      <c r="A3089" s="4">
        <v>3086</v>
      </c>
      <c r="B3089" s="5">
        <v>65823.284302709464</v>
      </c>
      <c r="C3089" s="19">
        <v>-18.245810098389875</v>
      </c>
      <c r="D3089" s="5">
        <v>138143.06827184453</v>
      </c>
      <c r="E3089" s="6">
        <v>109.86960729055902</v>
      </c>
    </row>
    <row r="3090" spans="1:5" x14ac:dyDescent="0.3">
      <c r="A3090" s="4">
        <v>3087</v>
      </c>
      <c r="B3090" s="5">
        <v>53200.301294754085</v>
      </c>
      <c r="C3090" s="19">
        <v>-33.923875404449099</v>
      </c>
      <c r="D3090" s="5">
        <v>85517.564074673282</v>
      </c>
      <c r="E3090" s="6">
        <v>60.746390515472328</v>
      </c>
    </row>
    <row r="3091" spans="1:5" x14ac:dyDescent="0.3">
      <c r="A3091" s="4">
        <v>3088</v>
      </c>
      <c r="B3091" s="5">
        <v>93881.931900708325</v>
      </c>
      <c r="C3091" s="19">
        <v>16.603742433201628</v>
      </c>
      <c r="D3091" s="5">
        <v>172469.00301855098</v>
      </c>
      <c r="E3091" s="6">
        <v>83.708408558270975</v>
      </c>
    </row>
    <row r="3092" spans="1:5" x14ac:dyDescent="0.3">
      <c r="A3092" s="4">
        <v>3089</v>
      </c>
      <c r="B3092" s="5">
        <v>62303.793503691923</v>
      </c>
      <c r="C3092" s="19">
        <v>-22.617107006283693</v>
      </c>
      <c r="D3092" s="5">
        <v>119860.74745526095</v>
      </c>
      <c r="E3092" s="6">
        <v>92.381138795599</v>
      </c>
    </row>
    <row r="3093" spans="1:5" x14ac:dyDescent="0.3">
      <c r="A3093" s="4">
        <v>3090</v>
      </c>
      <c r="B3093" s="5">
        <v>70817.312722084331</v>
      </c>
      <c r="C3093" s="19">
        <v>-12.043100037706916</v>
      </c>
      <c r="D3093" s="5">
        <v>133254.31959915531</v>
      </c>
      <c r="E3093" s="6">
        <v>88.166303516908286</v>
      </c>
    </row>
    <row r="3094" spans="1:5" x14ac:dyDescent="0.3">
      <c r="A3094" s="4">
        <v>3091</v>
      </c>
      <c r="B3094" s="5">
        <v>56609.97639615777</v>
      </c>
      <c r="C3094" s="19">
        <v>-29.688972380452249</v>
      </c>
      <c r="D3094" s="5">
        <v>97218.786158236937</v>
      </c>
      <c r="E3094" s="6">
        <v>71.73436971232401</v>
      </c>
    </row>
    <row r="3095" spans="1:5" x14ac:dyDescent="0.3">
      <c r="A3095" s="4">
        <v>3092</v>
      </c>
      <c r="B3095" s="5">
        <v>35087.78503676079</v>
      </c>
      <c r="C3095" s="19">
        <v>-56.420080348313192</v>
      </c>
      <c r="D3095" s="5">
        <v>69946.266750951749</v>
      </c>
      <c r="E3095" s="6">
        <v>99.346486755064205</v>
      </c>
    </row>
    <row r="3096" spans="1:5" x14ac:dyDescent="0.3">
      <c r="A3096" s="4">
        <v>3093</v>
      </c>
      <c r="B3096" s="5">
        <v>52942.665838867695</v>
      </c>
      <c r="C3096" s="19">
        <v>-34.243865180241201</v>
      </c>
      <c r="D3096" s="5">
        <v>100814.2066274738</v>
      </c>
      <c r="E3096" s="6">
        <v>90.421477706287618</v>
      </c>
    </row>
    <row r="3097" spans="1:5" x14ac:dyDescent="0.3">
      <c r="A3097" s="4">
        <v>3094</v>
      </c>
      <c r="B3097" s="5">
        <v>80685.372344893782</v>
      </c>
      <c r="C3097" s="19">
        <v>0.21328049556232445</v>
      </c>
      <c r="D3097" s="5">
        <v>168131.30844263302</v>
      </c>
      <c r="E3097" s="6">
        <v>108.37892118034367</v>
      </c>
    </row>
    <row r="3098" spans="1:5" x14ac:dyDescent="0.3">
      <c r="A3098" s="4">
        <v>3095</v>
      </c>
      <c r="B3098" s="5">
        <v>85302.605591431115</v>
      </c>
      <c r="C3098" s="19">
        <v>5.9480013873593158</v>
      </c>
      <c r="D3098" s="5">
        <v>160987.34040412083</v>
      </c>
      <c r="E3098" s="6">
        <v>88.724997657389792</v>
      </c>
    </row>
    <row r="3099" spans="1:5" x14ac:dyDescent="0.3">
      <c r="A3099" s="4">
        <v>3096</v>
      </c>
      <c r="B3099" s="5">
        <v>79415.504472789398</v>
      </c>
      <c r="C3099" s="19">
        <v>-1.3639276347482128</v>
      </c>
      <c r="D3099" s="5">
        <v>152267.06548378262</v>
      </c>
      <c r="E3099" s="6">
        <v>91.734682660052584</v>
      </c>
    </row>
    <row r="3100" spans="1:5" x14ac:dyDescent="0.3">
      <c r="A3100" s="4">
        <v>3097</v>
      </c>
      <c r="B3100" s="5">
        <v>43737.785217478449</v>
      </c>
      <c r="C3100" s="19">
        <v>-45.676560560221361</v>
      </c>
      <c r="D3100" s="5">
        <v>86238.586716353864</v>
      </c>
      <c r="E3100" s="6">
        <v>97.171819029124705</v>
      </c>
    </row>
    <row r="3101" spans="1:5" x14ac:dyDescent="0.3">
      <c r="A3101" s="4">
        <v>3098</v>
      </c>
      <c r="B3101" s="5">
        <v>44352.034044453561</v>
      </c>
      <c r="C3101" s="19">
        <v>-44.91364792559159</v>
      </c>
      <c r="D3101" s="5">
        <v>91095.715505068496</v>
      </c>
      <c r="E3101" s="6">
        <v>105.39241878684584</v>
      </c>
    </row>
    <row r="3102" spans="1:5" x14ac:dyDescent="0.3">
      <c r="A3102" s="4">
        <v>3099</v>
      </c>
      <c r="B3102" s="5">
        <v>121400.64446558716</v>
      </c>
      <c r="C3102" s="19">
        <v>50.782681948444299</v>
      </c>
      <c r="D3102" s="5">
        <v>229684.88044492298</v>
      </c>
      <c r="E3102" s="6">
        <v>89.195767004375853</v>
      </c>
    </row>
    <row r="3103" spans="1:5" x14ac:dyDescent="0.3">
      <c r="A3103" s="4">
        <v>3100</v>
      </c>
      <c r="B3103" s="5">
        <v>48946.874484492429</v>
      </c>
      <c r="C3103" s="19">
        <v>-39.206739467864075</v>
      </c>
      <c r="D3103" s="5">
        <v>97802.624033780899</v>
      </c>
      <c r="E3103" s="6">
        <v>99.813828898854766</v>
      </c>
    </row>
    <row r="3104" spans="1:5" x14ac:dyDescent="0.3">
      <c r="A3104" s="4">
        <v>3101</v>
      </c>
      <c r="B3104" s="5">
        <v>81898.564516088183</v>
      </c>
      <c r="C3104" s="19">
        <v>1.7200959667388536</v>
      </c>
      <c r="D3104" s="5">
        <v>150871.76009453743</v>
      </c>
      <c r="E3104" s="6">
        <v>84.217832126837976</v>
      </c>
    </row>
    <row r="3105" spans="1:5" x14ac:dyDescent="0.3">
      <c r="A3105" s="4">
        <v>3102</v>
      </c>
      <c r="B3105" s="5">
        <v>20652.740144604657</v>
      </c>
      <c r="C3105" s="19">
        <v>-74.348772510260247</v>
      </c>
      <c r="D3105" s="5">
        <v>41489.892864846188</v>
      </c>
      <c r="E3105" s="6">
        <v>100.89292062140747</v>
      </c>
    </row>
    <row r="3106" spans="1:5" x14ac:dyDescent="0.3">
      <c r="A3106" s="4">
        <v>3103</v>
      </c>
      <c r="B3106" s="5">
        <v>79830.674394452857</v>
      </c>
      <c r="C3106" s="19">
        <v>-0.84827605375115389</v>
      </c>
      <c r="D3106" s="5">
        <v>111106.37117260492</v>
      </c>
      <c r="E3106" s="6">
        <v>39.177542987567818</v>
      </c>
    </row>
    <row r="3107" spans="1:5" x14ac:dyDescent="0.3">
      <c r="A3107" s="4">
        <v>3104</v>
      </c>
      <c r="B3107" s="5">
        <v>97176.600082430436</v>
      </c>
      <c r="C3107" s="19">
        <v>20.695803943724197</v>
      </c>
      <c r="D3107" s="5">
        <v>165099.1712422682</v>
      </c>
      <c r="E3107" s="6">
        <v>69.896015195244715</v>
      </c>
    </row>
    <row r="3108" spans="1:5" x14ac:dyDescent="0.3">
      <c r="A3108" s="4">
        <v>3105</v>
      </c>
      <c r="B3108" s="5">
        <v>35887.35539618053</v>
      </c>
      <c r="C3108" s="19">
        <v>-55.42699366635604</v>
      </c>
      <c r="D3108" s="5">
        <v>65075.218147990578</v>
      </c>
      <c r="E3108" s="6">
        <v>81.331885366277206</v>
      </c>
    </row>
    <row r="3109" spans="1:5" x14ac:dyDescent="0.3">
      <c r="A3109" s="4">
        <v>3106</v>
      </c>
      <c r="B3109" s="5">
        <v>74904.699230967075</v>
      </c>
      <c r="C3109" s="19">
        <v>-6.9664622432186798</v>
      </c>
      <c r="D3109" s="5">
        <v>141084.373400704</v>
      </c>
      <c r="E3109" s="6">
        <v>88.351832193696268</v>
      </c>
    </row>
    <row r="3110" spans="1:5" x14ac:dyDescent="0.3">
      <c r="A3110" s="4">
        <v>3107</v>
      </c>
      <c r="B3110" s="5">
        <v>143518.89635153546</v>
      </c>
      <c r="C3110" s="19">
        <v>78.254112220133592</v>
      </c>
      <c r="D3110" s="5">
        <v>243945.22638182819</v>
      </c>
      <c r="E3110" s="6">
        <v>69.974290900557307</v>
      </c>
    </row>
    <row r="3111" spans="1:5" x14ac:dyDescent="0.3">
      <c r="A3111" s="4">
        <v>3108</v>
      </c>
      <c r="B3111" s="5">
        <v>47690.009669251624</v>
      </c>
      <c r="C3111" s="19">
        <v>-40.767797471492429</v>
      </c>
      <c r="D3111" s="5">
        <v>99444.952731019715</v>
      </c>
      <c r="E3111" s="6">
        <v>108.52365814288638</v>
      </c>
    </row>
    <row r="3112" spans="1:5" x14ac:dyDescent="0.3">
      <c r="A3112" s="4">
        <v>3109</v>
      </c>
      <c r="B3112" s="5">
        <v>51797.665790197512</v>
      </c>
      <c r="C3112" s="19">
        <v>-35.665984304316595</v>
      </c>
      <c r="D3112" s="5">
        <v>80539.995890679595</v>
      </c>
      <c r="E3112" s="6">
        <v>55.489624217625355</v>
      </c>
    </row>
    <row r="3113" spans="1:5" x14ac:dyDescent="0.3">
      <c r="A3113" s="4">
        <v>3110</v>
      </c>
      <c r="B3113" s="5">
        <v>108958.6843063022</v>
      </c>
      <c r="C3113" s="19">
        <v>35.329451615351047</v>
      </c>
      <c r="D3113" s="5">
        <v>209921.74281432526</v>
      </c>
      <c r="E3113" s="6">
        <v>92.661781987196164</v>
      </c>
    </row>
    <row r="3114" spans="1:5" x14ac:dyDescent="0.3">
      <c r="A3114" s="4">
        <v>3111</v>
      </c>
      <c r="B3114" s="5">
        <v>59554.79005582579</v>
      </c>
      <c r="C3114" s="19">
        <v>-26.031439066705929</v>
      </c>
      <c r="D3114" s="5">
        <v>110418.45318448311</v>
      </c>
      <c r="E3114" s="6">
        <v>85.406502282987589</v>
      </c>
    </row>
    <row r="3115" spans="1:5" x14ac:dyDescent="0.3">
      <c r="A3115" s="4">
        <v>3112</v>
      </c>
      <c r="B3115" s="5">
        <v>28634.116602532707</v>
      </c>
      <c r="C3115" s="19">
        <v>-64.435700357602087</v>
      </c>
      <c r="D3115" s="5">
        <v>66867.766974905564</v>
      </c>
      <c r="E3115" s="6">
        <v>133.52481203834679</v>
      </c>
    </row>
    <row r="3116" spans="1:5" x14ac:dyDescent="0.3">
      <c r="A3116" s="4">
        <v>3113</v>
      </c>
      <c r="B3116" s="5">
        <v>34811.554077446061</v>
      </c>
      <c r="C3116" s="19">
        <v>-56.763166211374426</v>
      </c>
      <c r="D3116" s="5">
        <v>73637.507996114553</v>
      </c>
      <c r="E3116" s="6">
        <v>111.53180301083803</v>
      </c>
    </row>
    <row r="3117" spans="1:5" x14ac:dyDescent="0.3">
      <c r="A3117" s="4">
        <v>3114</v>
      </c>
      <c r="B3117" s="5">
        <v>75424.959307548386</v>
      </c>
      <c r="C3117" s="19">
        <v>-6.3202860223019126</v>
      </c>
      <c r="D3117" s="5">
        <v>126288.94637374271</v>
      </c>
      <c r="E3117" s="6">
        <v>67.436545585386824</v>
      </c>
    </row>
    <row r="3118" spans="1:5" x14ac:dyDescent="0.3">
      <c r="A3118" s="4">
        <v>3115</v>
      </c>
      <c r="B3118" s="5">
        <v>39025.79449420733</v>
      </c>
      <c r="C3118" s="19">
        <v>-51.528972643358259</v>
      </c>
      <c r="D3118" s="5">
        <v>77080.281775600131</v>
      </c>
      <c r="E3118" s="6">
        <v>97.511114826992952</v>
      </c>
    </row>
    <row r="3119" spans="1:5" x14ac:dyDescent="0.3">
      <c r="A3119" s="4">
        <v>3116</v>
      </c>
      <c r="B3119" s="5">
        <v>71704.149123653435</v>
      </c>
      <c r="C3119" s="19">
        <v>-10.941626716319384</v>
      </c>
      <c r="D3119" s="5">
        <v>120051.84797762307</v>
      </c>
      <c r="E3119" s="6">
        <v>67.426640501087704</v>
      </c>
    </row>
    <row r="3120" spans="1:5" x14ac:dyDescent="0.3">
      <c r="A3120" s="4">
        <v>3117</v>
      </c>
      <c r="B3120" s="5">
        <v>67400.925121965178</v>
      </c>
      <c r="C3120" s="19">
        <v>-16.286340155492262</v>
      </c>
      <c r="D3120" s="5">
        <v>134922.50521365218</v>
      </c>
      <c r="E3120" s="6">
        <v>100.1790108511174</v>
      </c>
    </row>
    <row r="3121" spans="1:5" x14ac:dyDescent="0.3">
      <c r="A3121" s="4">
        <v>3118</v>
      </c>
      <c r="B3121" s="5">
        <v>54449.762139380822</v>
      </c>
      <c r="C3121" s="19">
        <v>-32.372013320258993</v>
      </c>
      <c r="D3121" s="5">
        <v>110773.89213509238</v>
      </c>
      <c r="E3121" s="6">
        <v>103.44238024682775</v>
      </c>
    </row>
    <row r="3122" spans="1:5" x14ac:dyDescent="0.3">
      <c r="A3122" s="4">
        <v>3119</v>
      </c>
      <c r="B3122" s="5">
        <v>67965.256120860402</v>
      </c>
      <c r="C3122" s="19">
        <v>-15.585426730405901</v>
      </c>
      <c r="D3122" s="5">
        <v>118086.50816115864</v>
      </c>
      <c r="E3122" s="6">
        <v>73.745403020580454</v>
      </c>
    </row>
    <row r="3123" spans="1:5" x14ac:dyDescent="0.3">
      <c r="A3123" s="4">
        <v>3120</v>
      </c>
      <c r="B3123" s="5">
        <v>65964.132849559435</v>
      </c>
      <c r="C3123" s="19">
        <v>-18.070872628032379</v>
      </c>
      <c r="D3123" s="5">
        <v>111238.67632303674</v>
      </c>
      <c r="E3123" s="6">
        <v>68.635092311047757</v>
      </c>
    </row>
    <row r="3124" spans="1:5" x14ac:dyDescent="0.3">
      <c r="A3124" s="4">
        <v>3121</v>
      </c>
      <c r="B3124" s="5">
        <v>61679.539960770271</v>
      </c>
      <c r="C3124" s="19">
        <v>-23.392445752069566</v>
      </c>
      <c r="D3124" s="5">
        <v>126041.4589523725</v>
      </c>
      <c r="E3124" s="6">
        <v>104.34889597512891</v>
      </c>
    </row>
    <row r="3125" spans="1:5" x14ac:dyDescent="0.3">
      <c r="A3125" s="4">
        <v>3122</v>
      </c>
      <c r="B3125" s="5">
        <v>82773.022325058671</v>
      </c>
      <c r="C3125" s="19">
        <v>2.8061947619121059</v>
      </c>
      <c r="D3125" s="5">
        <v>154379.80051534754</v>
      </c>
      <c r="E3125" s="6">
        <v>86.509802564755034</v>
      </c>
    </row>
    <row r="3126" spans="1:5" x14ac:dyDescent="0.3">
      <c r="A3126" s="4">
        <v>3123</v>
      </c>
      <c r="B3126" s="5">
        <v>72926.290536760367</v>
      </c>
      <c r="C3126" s="19">
        <v>-9.4236960595281758</v>
      </c>
      <c r="D3126" s="5">
        <v>148440.49160717175</v>
      </c>
      <c r="E3126" s="6">
        <v>103.5486660772174</v>
      </c>
    </row>
    <row r="3127" spans="1:5" x14ac:dyDescent="0.3">
      <c r="A3127" s="4">
        <v>3124</v>
      </c>
      <c r="B3127" s="5">
        <v>59611.917227875223</v>
      </c>
      <c r="C3127" s="19">
        <v>-25.960485668957002</v>
      </c>
      <c r="D3127" s="5">
        <v>132078.1541320337</v>
      </c>
      <c r="E3127" s="6">
        <v>121.56333879876023</v>
      </c>
    </row>
    <row r="3128" spans="1:5" x14ac:dyDescent="0.3">
      <c r="A3128" s="4">
        <v>3125</v>
      </c>
      <c r="B3128" s="5">
        <v>28682.591527554854</v>
      </c>
      <c r="C3128" s="19">
        <v>-64.375493270281709</v>
      </c>
      <c r="D3128" s="5">
        <v>62476.635874921645</v>
      </c>
      <c r="E3128" s="6">
        <v>117.8207496170681</v>
      </c>
    </row>
    <row r="3129" spans="1:5" x14ac:dyDescent="0.3">
      <c r="A3129" s="4">
        <v>3126</v>
      </c>
      <c r="B3129" s="5">
        <v>33041.411254084851</v>
      </c>
      <c r="C3129" s="19">
        <v>-58.961728529664704</v>
      </c>
      <c r="D3129" s="5">
        <v>70243.515535723476</v>
      </c>
      <c r="E3129" s="6">
        <v>112.59235870876851</v>
      </c>
    </row>
    <row r="3130" spans="1:5" x14ac:dyDescent="0.3">
      <c r="A3130" s="4">
        <v>3127</v>
      </c>
      <c r="B3130" s="5">
        <v>107656.67329075385</v>
      </c>
      <c r="C3130" s="19">
        <v>33.712320884991151</v>
      </c>
      <c r="D3130" s="5">
        <v>198795.28062809038</v>
      </c>
      <c r="E3130" s="6">
        <v>84.656718948758382</v>
      </c>
    </row>
    <row r="3131" spans="1:5" x14ac:dyDescent="0.3">
      <c r="A3131" s="4">
        <v>3128</v>
      </c>
      <c r="B3131" s="5">
        <v>53419.001312768232</v>
      </c>
      <c r="C3131" s="19">
        <v>-33.652244430795626</v>
      </c>
      <c r="D3131" s="5">
        <v>120045.46112381073</v>
      </c>
      <c r="E3131" s="6">
        <v>124.72427071585372</v>
      </c>
    </row>
    <row r="3132" spans="1:5" x14ac:dyDescent="0.3">
      <c r="A3132" s="4">
        <v>3129</v>
      </c>
      <c r="B3132" s="5">
        <v>83260.273677057121</v>
      </c>
      <c r="C3132" s="19">
        <v>3.4113733090338854</v>
      </c>
      <c r="D3132" s="5">
        <v>148107.45308703033</v>
      </c>
      <c r="E3132" s="6">
        <v>77.884898218683432</v>
      </c>
    </row>
    <row r="3133" spans="1:5" x14ac:dyDescent="0.3">
      <c r="A3133" s="4">
        <v>3130</v>
      </c>
      <c r="B3133" s="5">
        <v>100045.42411055692</v>
      </c>
      <c r="C3133" s="19">
        <v>24.258956206245085</v>
      </c>
      <c r="D3133" s="5">
        <v>198876.09847934774</v>
      </c>
      <c r="E3133" s="6">
        <v>98.785801796968016</v>
      </c>
    </row>
    <row r="3134" spans="1:5" x14ac:dyDescent="0.3">
      <c r="A3134" s="4">
        <v>3131</v>
      </c>
      <c r="B3134" s="5">
        <v>53845.875076154422</v>
      </c>
      <c r="C3134" s="19">
        <v>-33.122056381299394</v>
      </c>
      <c r="D3134" s="5">
        <v>96994.538637252961</v>
      </c>
      <c r="E3134" s="6">
        <v>80.133647192237518</v>
      </c>
    </row>
    <row r="3135" spans="1:5" x14ac:dyDescent="0.3">
      <c r="A3135" s="4">
        <v>3132</v>
      </c>
      <c r="B3135" s="5">
        <v>71240.723365546437</v>
      </c>
      <c r="C3135" s="19">
        <v>-11.517213271061042</v>
      </c>
      <c r="D3135" s="5">
        <v>116397.74650518691</v>
      </c>
      <c r="E3135" s="6">
        <v>63.386530914254294</v>
      </c>
    </row>
    <row r="3136" spans="1:5" x14ac:dyDescent="0.3">
      <c r="A3136" s="4">
        <v>3133</v>
      </c>
      <c r="B3136" s="5">
        <v>84301.67417715273</v>
      </c>
      <c r="C3136" s="19">
        <v>4.7048191641041051</v>
      </c>
      <c r="D3136" s="5">
        <v>157738.67171934302</v>
      </c>
      <c r="E3136" s="6">
        <v>87.112146062329373</v>
      </c>
    </row>
    <row r="3137" spans="1:5" x14ac:dyDescent="0.3">
      <c r="A3137" s="4">
        <v>3134</v>
      </c>
      <c r="B3137" s="5">
        <v>78826.105780992671</v>
      </c>
      <c r="C3137" s="19">
        <v>-2.0959757707134781</v>
      </c>
      <c r="D3137" s="5">
        <v>122204.16233444212</v>
      </c>
      <c r="E3137" s="6">
        <v>55.030064118566671</v>
      </c>
    </row>
    <row r="3138" spans="1:5" x14ac:dyDescent="0.3">
      <c r="A3138" s="4">
        <v>3135</v>
      </c>
      <c r="B3138" s="5">
        <v>76267.119328674366</v>
      </c>
      <c r="C3138" s="19">
        <v>-5.27430189944885</v>
      </c>
      <c r="D3138" s="5">
        <v>141610.19678025105</v>
      </c>
      <c r="E3138" s="6">
        <v>85.676603530781932</v>
      </c>
    </row>
    <row r="3139" spans="1:5" x14ac:dyDescent="0.3">
      <c r="A3139" s="4">
        <v>3136</v>
      </c>
      <c r="B3139" s="5">
        <v>83185.524465868017</v>
      </c>
      <c r="C3139" s="19">
        <v>3.3185328913718628</v>
      </c>
      <c r="D3139" s="5">
        <v>156085.89065394737</v>
      </c>
      <c r="E3139" s="6">
        <v>87.635879747312543</v>
      </c>
    </row>
    <row r="3140" spans="1:5" x14ac:dyDescent="0.3">
      <c r="A3140" s="4">
        <v>3137</v>
      </c>
      <c r="B3140" s="5">
        <v>168945.60252860238</v>
      </c>
      <c r="C3140" s="19">
        <v>109.83472670014982</v>
      </c>
      <c r="D3140" s="5">
        <v>304608.77277075202</v>
      </c>
      <c r="E3140" s="6">
        <v>80.299912049608963</v>
      </c>
    </row>
    <row r="3141" spans="1:5" x14ac:dyDescent="0.3">
      <c r="A3141" s="4">
        <v>3138</v>
      </c>
      <c r="B3141" s="5">
        <v>52408.956723609845</v>
      </c>
      <c r="C3141" s="19">
        <v>-34.906745448572245</v>
      </c>
      <c r="D3141" s="5">
        <v>88066.662034153254</v>
      </c>
      <c r="E3141" s="6">
        <v>68.037426309766403</v>
      </c>
    </row>
    <row r="3142" spans="1:5" x14ac:dyDescent="0.3">
      <c r="A3142" s="4">
        <v>3139</v>
      </c>
      <c r="B3142" s="5">
        <v>53601.132121202063</v>
      </c>
      <c r="C3142" s="19">
        <v>-33.426033343680054</v>
      </c>
      <c r="D3142" s="5">
        <v>107850.29547757267</v>
      </c>
      <c r="E3142" s="6">
        <v>101.20898796261098</v>
      </c>
    </row>
    <row r="3143" spans="1:5" x14ac:dyDescent="0.3">
      <c r="A3143" s="4">
        <v>3140</v>
      </c>
      <c r="B3143" s="5">
        <v>96102.841934287877</v>
      </c>
      <c r="C3143" s="19">
        <v>19.36216906844292</v>
      </c>
      <c r="D3143" s="5">
        <v>187804.87504153437</v>
      </c>
      <c r="E3143" s="6">
        <v>95.420729773995106</v>
      </c>
    </row>
    <row r="3144" spans="1:5" x14ac:dyDescent="0.3">
      <c r="A3144" s="4">
        <v>3141</v>
      </c>
      <c r="B3144" s="5">
        <v>73635.39705200259</v>
      </c>
      <c r="C3144" s="19">
        <v>-8.5429677682904277</v>
      </c>
      <c r="D3144" s="5">
        <v>136158.86982318174</v>
      </c>
      <c r="E3144" s="6">
        <v>84.909534373833822</v>
      </c>
    </row>
    <row r="3145" spans="1:5" x14ac:dyDescent="0.3">
      <c r="A3145" s="4">
        <v>3142</v>
      </c>
      <c r="B3145" s="5">
        <v>99656.006890723977</v>
      </c>
      <c r="C3145" s="19">
        <v>23.775290134604397</v>
      </c>
      <c r="D3145" s="5">
        <v>176394.53569374175</v>
      </c>
      <c r="E3145" s="6">
        <v>77.003415245369041</v>
      </c>
    </row>
    <row r="3146" spans="1:5" x14ac:dyDescent="0.3">
      <c r="A3146" s="4">
        <v>3143</v>
      </c>
      <c r="B3146" s="5">
        <v>220195.4709422657</v>
      </c>
      <c r="C3146" s="19">
        <v>173.48836414939356</v>
      </c>
      <c r="D3146" s="5">
        <v>385004.47815006459</v>
      </c>
      <c r="E3146" s="6">
        <v>74.846683495597915</v>
      </c>
    </row>
    <row r="3147" spans="1:5" x14ac:dyDescent="0.3">
      <c r="A3147" s="4">
        <v>3144</v>
      </c>
      <c r="B3147" s="5">
        <v>115752.09372834454</v>
      </c>
      <c r="C3147" s="19">
        <v>43.767038555177685</v>
      </c>
      <c r="D3147" s="5">
        <v>214939.92525157068</v>
      </c>
      <c r="E3147" s="6">
        <v>85.68988113166003</v>
      </c>
    </row>
    <row r="3148" spans="1:5" x14ac:dyDescent="0.3">
      <c r="A3148" s="4">
        <v>3145</v>
      </c>
      <c r="B3148" s="5">
        <v>55775.292619358588</v>
      </c>
      <c r="C3148" s="19">
        <v>-30.725670818081323</v>
      </c>
      <c r="D3148" s="5">
        <v>122111.96060279028</v>
      </c>
      <c r="E3148" s="6">
        <v>118.93558037633215</v>
      </c>
    </row>
    <row r="3149" spans="1:5" x14ac:dyDescent="0.3">
      <c r="A3149" s="4">
        <v>3146</v>
      </c>
      <c r="B3149" s="5">
        <v>37027.499288229526</v>
      </c>
      <c r="C3149" s="19">
        <v>-54.010906012068375</v>
      </c>
      <c r="D3149" s="5">
        <v>68232.059594112419</v>
      </c>
      <c r="E3149" s="6">
        <v>84.274015004308822</v>
      </c>
    </row>
    <row r="3150" spans="1:5" x14ac:dyDescent="0.3">
      <c r="A3150" s="4">
        <v>3147</v>
      </c>
      <c r="B3150" s="5">
        <v>56971.575762631925</v>
      </c>
      <c r="C3150" s="19">
        <v>-29.239856788785957</v>
      </c>
      <c r="D3150" s="5">
        <v>109464.19949826103</v>
      </c>
      <c r="E3150" s="6">
        <v>92.138269010385017</v>
      </c>
    </row>
    <row r="3151" spans="1:5" x14ac:dyDescent="0.3">
      <c r="A3151" s="4">
        <v>3148</v>
      </c>
      <c r="B3151" s="5">
        <v>90081.147521225226</v>
      </c>
      <c r="C3151" s="19">
        <v>11.883071758272326</v>
      </c>
      <c r="D3151" s="5">
        <v>191755.11742894584</v>
      </c>
      <c r="E3151" s="6">
        <v>112.86931028910779</v>
      </c>
    </row>
    <row r="3152" spans="1:5" x14ac:dyDescent="0.3">
      <c r="A3152" s="4">
        <v>3149</v>
      </c>
      <c r="B3152" s="5">
        <v>73466.160305429672</v>
      </c>
      <c r="C3152" s="19">
        <v>-8.7531641032837513</v>
      </c>
      <c r="D3152" s="5">
        <v>119745.59589404095</v>
      </c>
      <c r="E3152" s="6">
        <v>62.994221279849427</v>
      </c>
    </row>
    <row r="3153" spans="1:5" x14ac:dyDescent="0.3">
      <c r="A3153" s="4">
        <v>3150</v>
      </c>
      <c r="B3153" s="5">
        <v>72572.811222034376</v>
      </c>
      <c r="C3153" s="19">
        <v>-9.8627263408113333</v>
      </c>
      <c r="D3153" s="5">
        <v>136800.92595829442</v>
      </c>
      <c r="E3153" s="6">
        <v>88.501621550467462</v>
      </c>
    </row>
    <row r="3154" spans="1:5" x14ac:dyDescent="0.3">
      <c r="A3154" s="4">
        <v>3151</v>
      </c>
      <c r="B3154" s="5">
        <v>59141.838867393242</v>
      </c>
      <c r="C3154" s="19">
        <v>-26.544334924711922</v>
      </c>
      <c r="D3154" s="5">
        <v>110948.83698363711</v>
      </c>
      <c r="E3154" s="6">
        <v>87.597881818325902</v>
      </c>
    </row>
    <row r="3155" spans="1:5" x14ac:dyDescent="0.3">
      <c r="A3155" s="4">
        <v>3152</v>
      </c>
      <c r="B3155" s="5">
        <v>176416.89893590964</v>
      </c>
      <c r="C3155" s="19">
        <v>119.1142664825346</v>
      </c>
      <c r="D3155" s="5">
        <v>269529.09523605998</v>
      </c>
      <c r="E3155" s="6">
        <v>52.779635546125881</v>
      </c>
    </row>
    <row r="3156" spans="1:5" x14ac:dyDescent="0.3">
      <c r="A3156" s="4">
        <v>3153</v>
      </c>
      <c r="B3156" s="5">
        <v>82825.315309725833</v>
      </c>
      <c r="C3156" s="19">
        <v>2.8711439762256967</v>
      </c>
      <c r="D3156" s="5">
        <v>177831.37051220753</v>
      </c>
      <c r="E3156" s="6">
        <v>114.7065421329287</v>
      </c>
    </row>
    <row r="3157" spans="1:5" x14ac:dyDescent="0.3">
      <c r="A3157" s="4">
        <v>3154</v>
      </c>
      <c r="B3157" s="5">
        <v>45193.984484499408</v>
      </c>
      <c r="C3157" s="19">
        <v>-43.867924107759869</v>
      </c>
      <c r="D3157" s="5">
        <v>79442.055796507397</v>
      </c>
      <c r="E3157" s="6">
        <v>75.780154599456395</v>
      </c>
    </row>
    <row r="3158" spans="1:5" x14ac:dyDescent="0.3">
      <c r="A3158" s="4">
        <v>3155</v>
      </c>
      <c r="B3158" s="5">
        <v>48998.915964617641</v>
      </c>
      <c r="C3158" s="19">
        <v>-39.14210262857555</v>
      </c>
      <c r="D3158" s="5">
        <v>89565.8214516195</v>
      </c>
      <c r="E3158" s="6">
        <v>82.791434643769307</v>
      </c>
    </row>
    <row r="3159" spans="1:5" x14ac:dyDescent="0.3">
      <c r="A3159" s="4">
        <v>3156</v>
      </c>
      <c r="B3159" s="5">
        <v>62078.721695374799</v>
      </c>
      <c r="C3159" s="19">
        <v>-22.896651905229117</v>
      </c>
      <c r="D3159" s="5">
        <v>123209.89535537637</v>
      </c>
      <c r="E3159" s="6">
        <v>98.473634750369186</v>
      </c>
    </row>
    <row r="3160" spans="1:5" x14ac:dyDescent="0.3">
      <c r="A3160" s="4">
        <v>3157</v>
      </c>
      <c r="B3160" s="5">
        <v>79682.033835614377</v>
      </c>
      <c r="C3160" s="19">
        <v>-1.0328914007836385</v>
      </c>
      <c r="D3160" s="5">
        <v>132087.91708988906</v>
      </c>
      <c r="E3160" s="6">
        <v>65.768757060580384</v>
      </c>
    </row>
    <row r="3161" spans="1:5" x14ac:dyDescent="0.3">
      <c r="A3161" s="4">
        <v>3158</v>
      </c>
      <c r="B3161" s="5">
        <v>43642.237690251226</v>
      </c>
      <c r="C3161" s="19">
        <v>-45.795233014328034</v>
      </c>
      <c r="D3161" s="5">
        <v>78756.138287315291</v>
      </c>
      <c r="E3161" s="6">
        <v>80.45852471242047</v>
      </c>
    </row>
    <row r="3162" spans="1:5" x14ac:dyDescent="0.3">
      <c r="A3162" s="4">
        <v>3159</v>
      </c>
      <c r="B3162" s="5">
        <v>73759.256665233188</v>
      </c>
      <c r="C3162" s="19">
        <v>-8.3891309847196425</v>
      </c>
      <c r="D3162" s="5">
        <v>120887.34247431687</v>
      </c>
      <c r="E3162" s="6">
        <v>63.89446957550178</v>
      </c>
    </row>
    <row r="3163" spans="1:5" x14ac:dyDescent="0.3">
      <c r="A3163" s="4">
        <v>3160</v>
      </c>
      <c r="B3163" s="5">
        <v>83888.727997510781</v>
      </c>
      <c r="C3163" s="19">
        <v>4.1919295271431807</v>
      </c>
      <c r="D3163" s="5">
        <v>152705.90479065268</v>
      </c>
      <c r="E3163" s="6">
        <v>82.033878014199828</v>
      </c>
    </row>
    <row r="3164" spans="1:5" x14ac:dyDescent="0.3">
      <c r="A3164" s="4">
        <v>3161</v>
      </c>
      <c r="B3164" s="5">
        <v>53672.403463012794</v>
      </c>
      <c r="C3164" s="19">
        <v>-33.337512528065012</v>
      </c>
      <c r="D3164" s="5">
        <v>105527.46503360153</v>
      </c>
      <c r="E3164" s="6">
        <v>96.614010599177959</v>
      </c>
    </row>
    <row r="3165" spans="1:5" x14ac:dyDescent="0.3">
      <c r="A3165" s="4">
        <v>3162</v>
      </c>
      <c r="B3165" s="5">
        <v>72638.3972325457</v>
      </c>
      <c r="C3165" s="19">
        <v>-9.7812668509813605</v>
      </c>
      <c r="D3165" s="5">
        <v>123856.04373230423</v>
      </c>
      <c r="E3165" s="6">
        <v>70.510430366173352</v>
      </c>
    </row>
    <row r="3166" spans="1:5" x14ac:dyDescent="0.3">
      <c r="A3166" s="4">
        <v>3163</v>
      </c>
      <c r="B3166" s="5">
        <v>72322.528799673571</v>
      </c>
      <c r="C3166" s="19">
        <v>-10.173583462322023</v>
      </c>
      <c r="D3166" s="5">
        <v>143346.36127931526</v>
      </c>
      <c r="E3166" s="6">
        <v>98.204299073074239</v>
      </c>
    </row>
    <row r="3167" spans="1:5" x14ac:dyDescent="0.3">
      <c r="A3167" s="4">
        <v>3164</v>
      </c>
      <c r="B3167" s="5">
        <v>37425.325107267461</v>
      </c>
      <c r="C3167" s="19">
        <v>-53.516796246778938</v>
      </c>
      <c r="D3167" s="5">
        <v>75947.662787508845</v>
      </c>
      <c r="E3167" s="6">
        <v>102.93120385682609</v>
      </c>
    </row>
    <row r="3168" spans="1:5" x14ac:dyDescent="0.3">
      <c r="A3168" s="4">
        <v>3165</v>
      </c>
      <c r="B3168" s="5">
        <v>40700.525253911903</v>
      </c>
      <c r="C3168" s="19">
        <v>-49.448914529981515</v>
      </c>
      <c r="D3168" s="5">
        <v>76466.353586655096</v>
      </c>
      <c r="E3168" s="6">
        <v>87.875594011665953</v>
      </c>
    </row>
    <row r="3169" spans="1:5" x14ac:dyDescent="0.3">
      <c r="A3169" s="4">
        <v>3166</v>
      </c>
      <c r="B3169" s="5">
        <v>57344.479463864867</v>
      </c>
      <c r="C3169" s="19">
        <v>-28.776700926410427</v>
      </c>
      <c r="D3169" s="5">
        <v>118276.19455764999</v>
      </c>
      <c r="E3169" s="6">
        <v>106.25559018663813</v>
      </c>
    </row>
    <row r="3170" spans="1:5" x14ac:dyDescent="0.3">
      <c r="A3170" s="4">
        <v>3167</v>
      </c>
      <c r="B3170" s="5">
        <v>22752.890983942005</v>
      </c>
      <c r="C3170" s="19">
        <v>-71.740331859507961</v>
      </c>
      <c r="D3170" s="5">
        <v>49525.756734106733</v>
      </c>
      <c r="E3170" s="6">
        <v>117.66797357337953</v>
      </c>
    </row>
    <row r="3171" spans="1:5" x14ac:dyDescent="0.3">
      <c r="A3171" s="4">
        <v>3168</v>
      </c>
      <c r="B3171" s="5">
        <v>71384.360301179971</v>
      </c>
      <c r="C3171" s="19">
        <v>-11.338812551056465</v>
      </c>
      <c r="D3171" s="5">
        <v>127781.23660883246</v>
      </c>
      <c r="E3171" s="6">
        <v>79.004527139707747</v>
      </c>
    </row>
    <row r="3172" spans="1:5" x14ac:dyDescent="0.3">
      <c r="A3172" s="4">
        <v>3169</v>
      </c>
      <c r="B3172" s="5">
        <v>98914.496654781935</v>
      </c>
      <c r="C3172" s="19">
        <v>22.854315599751263</v>
      </c>
      <c r="D3172" s="5">
        <v>167760.26132285027</v>
      </c>
      <c r="E3172" s="6">
        <v>69.601288988351797</v>
      </c>
    </row>
    <row r="3173" spans="1:5" x14ac:dyDescent="0.3">
      <c r="A3173" s="4">
        <v>3170</v>
      </c>
      <c r="B3173" s="5">
        <v>110706.43690562197</v>
      </c>
      <c r="C3173" s="19">
        <v>37.500204707049029</v>
      </c>
      <c r="D3173" s="5">
        <v>220281.20024217537</v>
      </c>
      <c r="E3173" s="6">
        <v>98.97777075958706</v>
      </c>
    </row>
    <row r="3174" spans="1:5" x14ac:dyDescent="0.3">
      <c r="A3174" s="4">
        <v>3171</v>
      </c>
      <c r="B3174" s="5">
        <v>60173.648321985849</v>
      </c>
      <c r="C3174" s="19">
        <v>-25.262801391606697</v>
      </c>
      <c r="D3174" s="5">
        <v>118408.99429672502</v>
      </c>
      <c r="E3174" s="6">
        <v>96.778818633573749</v>
      </c>
    </row>
    <row r="3175" spans="1:5" x14ac:dyDescent="0.3">
      <c r="A3175" s="4">
        <v>3172</v>
      </c>
      <c r="B3175" s="5">
        <v>59391.759092060289</v>
      </c>
      <c r="C3175" s="19">
        <v>-26.233927661930569</v>
      </c>
      <c r="D3175" s="5">
        <v>115755.67024367891</v>
      </c>
      <c r="E3175" s="6">
        <v>94.901905606553342</v>
      </c>
    </row>
    <row r="3176" spans="1:5" x14ac:dyDescent="0.3">
      <c r="A3176" s="4">
        <v>3173</v>
      </c>
      <c r="B3176" s="5">
        <v>65695.072119522185</v>
      </c>
      <c r="C3176" s="19">
        <v>-18.405052884328487</v>
      </c>
      <c r="D3176" s="5">
        <v>122398.8275770616</v>
      </c>
      <c r="E3176" s="6">
        <v>86.313559949177858</v>
      </c>
    </row>
    <row r="3177" spans="1:5" x14ac:dyDescent="0.3">
      <c r="A3177" s="4">
        <v>3174</v>
      </c>
      <c r="B3177" s="5">
        <v>61407.948496102974</v>
      </c>
      <c r="C3177" s="19">
        <v>-23.729769245014033</v>
      </c>
      <c r="D3177" s="5">
        <v>131562.70854596453</v>
      </c>
      <c r="E3177" s="6">
        <v>114.2437775043302</v>
      </c>
    </row>
    <row r="3178" spans="1:5" x14ac:dyDescent="0.3">
      <c r="A3178" s="4">
        <v>3175</v>
      </c>
      <c r="B3178" s="5">
        <v>70612.788623254222</v>
      </c>
      <c r="C3178" s="19">
        <v>-12.297124159905328</v>
      </c>
      <c r="D3178" s="5">
        <v>120986.12059971911</v>
      </c>
      <c r="E3178" s="6">
        <v>71.337406380061779</v>
      </c>
    </row>
    <row r="3179" spans="1:5" x14ac:dyDescent="0.3">
      <c r="A3179" s="4">
        <v>3176</v>
      </c>
      <c r="B3179" s="5">
        <v>101059.61291074392</v>
      </c>
      <c r="C3179" s="19">
        <v>25.518604439312071</v>
      </c>
      <c r="D3179" s="5">
        <v>179862.56196167058</v>
      </c>
      <c r="E3179" s="6">
        <v>77.976697892684001</v>
      </c>
    </row>
    <row r="3180" spans="1:5" x14ac:dyDescent="0.3">
      <c r="A3180" s="4">
        <v>3177</v>
      </c>
      <c r="B3180" s="5">
        <v>66386.989588318553</v>
      </c>
      <c r="C3180" s="19">
        <v>-17.545673825087423</v>
      </c>
      <c r="D3180" s="5">
        <v>108328.25711832693</v>
      </c>
      <c r="E3180" s="6">
        <v>63.176938418349913</v>
      </c>
    </row>
    <row r="3181" spans="1:5" x14ac:dyDescent="0.3">
      <c r="A3181" s="4">
        <v>3178</v>
      </c>
      <c r="B3181" s="5">
        <v>60415.220868014003</v>
      </c>
      <c r="C3181" s="19">
        <v>-24.962762157584635</v>
      </c>
      <c r="D3181" s="5">
        <v>125862.98940915933</v>
      </c>
      <c r="E3181" s="6">
        <v>108.32993341880794</v>
      </c>
    </row>
    <row r="3182" spans="1:5" x14ac:dyDescent="0.3">
      <c r="A3182" s="4">
        <v>3179</v>
      </c>
      <c r="B3182" s="5">
        <v>79038.456349386077</v>
      </c>
      <c r="C3182" s="19">
        <v>-1.8322309746575525</v>
      </c>
      <c r="D3182" s="5">
        <v>147659.05071736893</v>
      </c>
      <c r="E3182" s="6">
        <v>86.819249182509935</v>
      </c>
    </row>
    <row r="3183" spans="1:5" x14ac:dyDescent="0.3">
      <c r="A3183" s="4">
        <v>3180</v>
      </c>
      <c r="B3183" s="5">
        <v>63280.975603137173</v>
      </c>
      <c r="C3183" s="19">
        <v>-21.403422034881977</v>
      </c>
      <c r="D3183" s="5">
        <v>118035.4850803429</v>
      </c>
      <c r="E3183" s="6">
        <v>86.526019795578591</v>
      </c>
    </row>
    <row r="3184" spans="1:5" x14ac:dyDescent="0.3">
      <c r="A3184" s="4">
        <v>3181</v>
      </c>
      <c r="B3184" s="5">
        <v>390472.61345057795</v>
      </c>
      <c r="C3184" s="19">
        <v>384.97689730292791</v>
      </c>
      <c r="D3184" s="5">
        <v>556861.47221033089</v>
      </c>
      <c r="E3184" s="6">
        <v>42.612171258154767</v>
      </c>
    </row>
    <row r="3185" spans="1:5" x14ac:dyDescent="0.3">
      <c r="A3185" s="4">
        <v>3182</v>
      </c>
      <c r="B3185" s="5">
        <v>87262.618509681939</v>
      </c>
      <c r="C3185" s="19">
        <v>8.3823871829901648</v>
      </c>
      <c r="D3185" s="5">
        <v>162259.31007427836</v>
      </c>
      <c r="E3185" s="6">
        <v>85.943663902631357</v>
      </c>
    </row>
    <row r="3186" spans="1:5" x14ac:dyDescent="0.3">
      <c r="A3186" s="4">
        <v>3183</v>
      </c>
      <c r="B3186" s="5">
        <v>50103.923275337147</v>
      </c>
      <c r="C3186" s="19">
        <v>-37.769655500173734</v>
      </c>
      <c r="D3186" s="5">
        <v>96734.901233945013</v>
      </c>
      <c r="E3186" s="6">
        <v>93.068516216495993</v>
      </c>
    </row>
    <row r="3187" spans="1:5" x14ac:dyDescent="0.3">
      <c r="A3187" s="4">
        <v>3184</v>
      </c>
      <c r="B3187" s="5">
        <v>140375.92305283615</v>
      </c>
      <c r="C3187" s="19">
        <v>74.350459604808577</v>
      </c>
      <c r="D3187" s="5">
        <v>253439.88350566322</v>
      </c>
      <c r="E3187" s="6">
        <v>80.543698658544798</v>
      </c>
    </row>
    <row r="3188" spans="1:5" x14ac:dyDescent="0.3">
      <c r="A3188" s="4">
        <v>3185</v>
      </c>
      <c r="B3188" s="5">
        <v>56619.264292778913</v>
      </c>
      <c r="C3188" s="19">
        <v>-29.677436577093374</v>
      </c>
      <c r="D3188" s="5">
        <v>105946.41357883453</v>
      </c>
      <c r="E3188" s="6">
        <v>87.120788131375775</v>
      </c>
    </row>
    <row r="3189" spans="1:5" x14ac:dyDescent="0.3">
      <c r="A3189" s="4">
        <v>3186</v>
      </c>
      <c r="B3189" s="5">
        <v>123647.61615367816</v>
      </c>
      <c r="C3189" s="19">
        <v>53.573477820113844</v>
      </c>
      <c r="D3189" s="5">
        <v>218307.9743007159</v>
      </c>
      <c r="E3189" s="6">
        <v>76.556557329327745</v>
      </c>
    </row>
    <row r="3190" spans="1:5" x14ac:dyDescent="0.3">
      <c r="A3190" s="4">
        <v>3187</v>
      </c>
      <c r="B3190" s="5">
        <v>65336.335660133213</v>
      </c>
      <c r="C3190" s="19">
        <v>-18.850612672725585</v>
      </c>
      <c r="D3190" s="5">
        <v>129341.83542359674</v>
      </c>
      <c r="E3190" s="6">
        <v>97.963099884278122</v>
      </c>
    </row>
    <row r="3191" spans="1:5" x14ac:dyDescent="0.3">
      <c r="A3191" s="4">
        <v>3188</v>
      </c>
      <c r="B3191" s="5">
        <v>76818.238981657545</v>
      </c>
      <c r="C3191" s="19">
        <v>-4.5897973013298881</v>
      </c>
      <c r="D3191" s="5">
        <v>134481.65789350707</v>
      </c>
      <c r="E3191" s="6">
        <v>75.064749825387494</v>
      </c>
    </row>
    <row r="3192" spans="1:5" x14ac:dyDescent="0.3">
      <c r="A3192" s="4">
        <v>3189</v>
      </c>
      <c r="B3192" s="5">
        <v>70709.331509924086</v>
      </c>
      <c r="C3192" s="19">
        <v>-12.17721544410561</v>
      </c>
      <c r="D3192" s="5">
        <v>139072.12997070604</v>
      </c>
      <c r="E3192" s="6">
        <v>96.681437938905148</v>
      </c>
    </row>
    <row r="3193" spans="1:5" x14ac:dyDescent="0.3">
      <c r="A3193" s="4">
        <v>3190</v>
      </c>
      <c r="B3193" s="5">
        <v>100720.79503635867</v>
      </c>
      <c r="C3193" s="19">
        <v>25.097784039084619</v>
      </c>
      <c r="D3193" s="5">
        <v>200305.32299940399</v>
      </c>
      <c r="E3193" s="6">
        <v>98.871864471578903</v>
      </c>
    </row>
    <row r="3194" spans="1:5" x14ac:dyDescent="0.3">
      <c r="A3194" s="4">
        <v>3191</v>
      </c>
      <c r="B3194" s="5">
        <v>87832.252886920192</v>
      </c>
      <c r="C3194" s="19">
        <v>9.0898875385946436</v>
      </c>
      <c r="D3194" s="5">
        <v>147779.71429089812</v>
      </c>
      <c r="E3194" s="6">
        <v>68.252218784775337</v>
      </c>
    </row>
    <row r="3195" spans="1:5" x14ac:dyDescent="0.3">
      <c r="A3195" s="4">
        <v>3192</v>
      </c>
      <c r="B3195" s="5">
        <v>108176.71505455628</v>
      </c>
      <c r="C3195" s="19">
        <v>34.358225955895094</v>
      </c>
      <c r="D3195" s="5">
        <v>201000.56861617949</v>
      </c>
      <c r="E3195" s="6">
        <v>85.807609812157608</v>
      </c>
    </row>
    <row r="3196" spans="1:5" x14ac:dyDescent="0.3">
      <c r="A3196" s="4">
        <v>3193</v>
      </c>
      <c r="B3196" s="5">
        <v>30148.001236409957</v>
      </c>
      <c r="C3196" s="19">
        <v>-62.555417215272847</v>
      </c>
      <c r="D3196" s="5">
        <v>76251.422241514316</v>
      </c>
      <c r="E3196" s="6">
        <v>152.92364042172366</v>
      </c>
    </row>
    <row r="3197" spans="1:5" x14ac:dyDescent="0.3">
      <c r="A3197" s="4">
        <v>3194</v>
      </c>
      <c r="B3197" s="5">
        <v>50203.546888098572</v>
      </c>
      <c r="C3197" s="19">
        <v>-37.645920444369978</v>
      </c>
      <c r="D3197" s="5">
        <v>92121.441015366261</v>
      </c>
      <c r="E3197" s="6">
        <v>83.49588171668583</v>
      </c>
    </row>
    <row r="3198" spans="1:5" x14ac:dyDescent="0.3">
      <c r="A3198" s="4">
        <v>3195</v>
      </c>
      <c r="B3198" s="5">
        <v>90413.407616881086</v>
      </c>
      <c r="C3198" s="19">
        <v>12.295747230861258</v>
      </c>
      <c r="D3198" s="5">
        <v>171824.40959402337</v>
      </c>
      <c r="E3198" s="6">
        <v>90.043063438239486</v>
      </c>
    </row>
    <row r="3199" spans="1:5" x14ac:dyDescent="0.3">
      <c r="A3199" s="4">
        <v>3196</v>
      </c>
      <c r="B3199" s="5">
        <v>136418.22931894098</v>
      </c>
      <c r="C3199" s="19">
        <v>69.434903528856907</v>
      </c>
      <c r="D3199" s="5">
        <v>235765.30637470784</v>
      </c>
      <c r="E3199" s="6">
        <v>72.825367659256827</v>
      </c>
    </row>
    <row r="3200" spans="1:5" x14ac:dyDescent="0.3">
      <c r="A3200" s="4">
        <v>3197</v>
      </c>
      <c r="B3200" s="5">
        <v>57767.666501644839</v>
      </c>
      <c r="C3200" s="19">
        <v>-28.251091883697558</v>
      </c>
      <c r="D3200" s="5">
        <v>120750.13855280961</v>
      </c>
      <c r="E3200" s="6">
        <v>109.02720477617258</v>
      </c>
    </row>
    <row r="3201" spans="1:5" x14ac:dyDescent="0.3">
      <c r="A3201" s="4">
        <v>3198</v>
      </c>
      <c r="B3201" s="5">
        <v>69132.08987649472</v>
      </c>
      <c r="C3201" s="19">
        <v>-14.136189588074332</v>
      </c>
      <c r="D3201" s="5">
        <v>117946.80381111024</v>
      </c>
      <c r="E3201" s="6">
        <v>70.610788740545189</v>
      </c>
    </row>
    <row r="3202" spans="1:5" x14ac:dyDescent="0.3">
      <c r="A3202" s="4">
        <v>3199</v>
      </c>
      <c r="B3202" s="5">
        <v>155901.9858258187</v>
      </c>
      <c r="C3202" s="19">
        <v>93.634223668135434</v>
      </c>
      <c r="D3202" s="5">
        <v>252564.71750492073</v>
      </c>
      <c r="E3202" s="6">
        <v>62.002245299876002</v>
      </c>
    </row>
    <row r="3203" spans="1:5" x14ac:dyDescent="0.3">
      <c r="A3203" s="4">
        <v>3200</v>
      </c>
      <c r="B3203" s="5">
        <v>54838.657997846778</v>
      </c>
      <c r="C3203" s="19">
        <v>-31.888994792669862</v>
      </c>
      <c r="D3203" s="5">
        <v>120148.62291838609</v>
      </c>
      <c r="E3203" s="6">
        <v>119.09475414789267</v>
      </c>
    </row>
    <row r="3204" spans="1:5" x14ac:dyDescent="0.3">
      <c r="A3204" s="4">
        <v>3201</v>
      </c>
      <c r="B3204" s="5">
        <v>62439.101766929409</v>
      </c>
      <c r="C3204" s="19">
        <v>-22.449050708802361</v>
      </c>
      <c r="D3204" s="5">
        <v>109784.87953196028</v>
      </c>
      <c r="E3204" s="6">
        <v>75.827128234101778</v>
      </c>
    </row>
    <row r="3205" spans="1:5" x14ac:dyDescent="0.3">
      <c r="A3205" s="4">
        <v>3202</v>
      </c>
      <c r="B3205" s="5">
        <v>53178.410588844512</v>
      </c>
      <c r="C3205" s="19">
        <v>-33.951064216842312</v>
      </c>
      <c r="D3205" s="5">
        <v>92773.49231064842</v>
      </c>
      <c r="E3205" s="6">
        <v>74.457061208425728</v>
      </c>
    </row>
    <row r="3206" spans="1:5" x14ac:dyDescent="0.3">
      <c r="A3206" s="4">
        <v>3203</v>
      </c>
      <c r="B3206" s="5">
        <v>67002.554658907931</v>
      </c>
      <c r="C3206" s="19">
        <v>-16.781126382478419</v>
      </c>
      <c r="D3206" s="5">
        <v>130586.46816394621</v>
      </c>
      <c r="E3206" s="6">
        <v>94.897745061702437</v>
      </c>
    </row>
    <row r="3207" spans="1:5" x14ac:dyDescent="0.3">
      <c r="A3207" s="4">
        <v>3204</v>
      </c>
      <c r="B3207" s="5">
        <v>63819.475093564295</v>
      </c>
      <c r="C3207" s="19">
        <v>-20.734591998996223</v>
      </c>
      <c r="D3207" s="5">
        <v>105673.16068314652</v>
      </c>
      <c r="E3207" s="6">
        <v>65.581369210921082</v>
      </c>
    </row>
    <row r="3208" spans="1:5" x14ac:dyDescent="0.3">
      <c r="A3208" s="4">
        <v>3205</v>
      </c>
      <c r="B3208" s="5">
        <v>29301.016079573652</v>
      </c>
      <c r="C3208" s="19">
        <v>-63.607394279154924</v>
      </c>
      <c r="D3208" s="5">
        <v>61045.864376294827</v>
      </c>
      <c r="E3208" s="6">
        <v>108.34043505696435</v>
      </c>
    </row>
    <row r="3209" spans="1:5" x14ac:dyDescent="0.3">
      <c r="A3209" s="4">
        <v>3206</v>
      </c>
      <c r="B3209" s="5">
        <v>40157.292194795424</v>
      </c>
      <c r="C3209" s="19">
        <v>-50.123623778331996</v>
      </c>
      <c r="D3209" s="5">
        <v>73857.865331086548</v>
      </c>
      <c r="E3209" s="6">
        <v>83.921428199929466</v>
      </c>
    </row>
    <row r="3210" spans="1:5" x14ac:dyDescent="0.3">
      <c r="A3210" s="4">
        <v>3207</v>
      </c>
      <c r="B3210" s="5">
        <v>99530.010549085346</v>
      </c>
      <c r="C3210" s="19">
        <v>23.618799480114085</v>
      </c>
      <c r="D3210" s="5">
        <v>194522.09359347308</v>
      </c>
      <c r="E3210" s="6">
        <v>95.440644003087243</v>
      </c>
    </row>
    <row r="3211" spans="1:5" x14ac:dyDescent="0.3">
      <c r="A3211" s="4">
        <v>3208</v>
      </c>
      <c r="B3211" s="5">
        <v>49117.240292893373</v>
      </c>
      <c r="C3211" s="19">
        <v>-38.995140809421279</v>
      </c>
      <c r="D3211" s="5">
        <v>87491.61473070964</v>
      </c>
      <c r="E3211" s="6">
        <v>78.128115930341764</v>
      </c>
    </row>
    <row r="3212" spans="1:5" x14ac:dyDescent="0.3">
      <c r="A3212" s="4">
        <v>3209</v>
      </c>
      <c r="B3212" s="5">
        <v>43864.033732648422</v>
      </c>
      <c r="C3212" s="19">
        <v>-45.519756699804184</v>
      </c>
      <c r="D3212" s="5">
        <v>84493.016876551817</v>
      </c>
      <c r="E3212" s="6">
        <v>92.624821947605909</v>
      </c>
    </row>
    <row r="3213" spans="1:5" x14ac:dyDescent="0.3">
      <c r="A3213" s="4">
        <v>3210</v>
      </c>
      <c r="B3213" s="5">
        <v>48218.753413717975</v>
      </c>
      <c r="C3213" s="19">
        <v>-40.111084319720824</v>
      </c>
      <c r="D3213" s="5">
        <v>96082.81576058433</v>
      </c>
      <c r="E3213" s="6">
        <v>99.264412615962172</v>
      </c>
    </row>
    <row r="3214" spans="1:5" x14ac:dyDescent="0.3">
      <c r="A3214" s="4">
        <v>3211</v>
      </c>
      <c r="B3214" s="5">
        <v>55697.865698550275</v>
      </c>
      <c r="C3214" s="19">
        <v>-30.821837019058922</v>
      </c>
      <c r="D3214" s="5">
        <v>105335.85297525434</v>
      </c>
      <c r="E3214" s="6">
        <v>89.120088632042609</v>
      </c>
    </row>
    <row r="3215" spans="1:5" x14ac:dyDescent="0.3">
      <c r="A3215" s="4">
        <v>3212</v>
      </c>
      <c r="B3215" s="5">
        <v>50963.737820098977</v>
      </c>
      <c r="C3215" s="19">
        <v>-36.701744010838773</v>
      </c>
      <c r="D3215" s="5">
        <v>103075.61500461707</v>
      </c>
      <c r="E3215" s="6">
        <v>102.2528554880963</v>
      </c>
    </row>
    <row r="3216" spans="1:5" x14ac:dyDescent="0.3">
      <c r="A3216" s="4">
        <v>3213</v>
      </c>
      <c r="B3216" s="5">
        <v>140802.8504410203</v>
      </c>
      <c r="C3216" s="19">
        <v>74.880714257665048</v>
      </c>
      <c r="D3216" s="5">
        <v>317718.20765442448</v>
      </c>
      <c r="E3216" s="6">
        <v>125.64756797129665</v>
      </c>
    </row>
    <row r="3217" spans="1:5" x14ac:dyDescent="0.3">
      <c r="A3217" s="4">
        <v>3214</v>
      </c>
      <c r="B3217" s="5">
        <v>50772.980012338405</v>
      </c>
      <c r="C3217" s="19">
        <v>-36.938670050097961</v>
      </c>
      <c r="D3217" s="5">
        <v>83603.884205864466</v>
      </c>
      <c r="E3217" s="6">
        <v>64.662157284342541</v>
      </c>
    </row>
    <row r="3218" spans="1:5" x14ac:dyDescent="0.3">
      <c r="A3218" s="4">
        <v>3215</v>
      </c>
      <c r="B3218" s="5">
        <v>75342.11142074228</v>
      </c>
      <c r="C3218" s="19">
        <v>-6.4231852006495771</v>
      </c>
      <c r="D3218" s="5">
        <v>145274.48358691682</v>
      </c>
      <c r="E3218" s="6">
        <v>92.81976685739869</v>
      </c>
    </row>
    <row r="3219" spans="1:5" x14ac:dyDescent="0.3">
      <c r="A3219" s="4">
        <v>3216</v>
      </c>
      <c r="B3219" s="5">
        <v>86858.309452313726</v>
      </c>
      <c r="C3219" s="19">
        <v>7.8802250711299813</v>
      </c>
      <c r="D3219" s="5">
        <v>185515.15107515853</v>
      </c>
      <c r="E3219" s="6">
        <v>113.58365393584894</v>
      </c>
    </row>
    <row r="3220" spans="1:5" x14ac:dyDescent="0.3">
      <c r="A3220" s="4">
        <v>3217</v>
      </c>
      <c r="B3220" s="5">
        <v>67519.418917146613</v>
      </c>
      <c r="C3220" s="19">
        <v>-16.139167854139522</v>
      </c>
      <c r="D3220" s="5">
        <v>117977.08048682874</v>
      </c>
      <c r="E3220" s="6">
        <v>74.730592145052299</v>
      </c>
    </row>
    <row r="3221" spans="1:5" x14ac:dyDescent="0.3">
      <c r="A3221" s="4">
        <v>3218</v>
      </c>
      <c r="B3221" s="5">
        <v>56564.536090998721</v>
      </c>
      <c r="C3221" s="19">
        <v>-29.745410392874653</v>
      </c>
      <c r="D3221" s="5">
        <v>113209.41796398631</v>
      </c>
      <c r="E3221" s="6">
        <v>100.14204267822441</v>
      </c>
    </row>
    <row r="3222" spans="1:5" x14ac:dyDescent="0.3">
      <c r="A3222" s="4">
        <v>3219</v>
      </c>
      <c r="B3222" s="5">
        <v>31595.353370777026</v>
      </c>
      <c r="C3222" s="19">
        <v>-60.757769126134939</v>
      </c>
      <c r="D3222" s="5">
        <v>69676.304914664754</v>
      </c>
      <c r="E3222" s="6">
        <v>120.52706325832494</v>
      </c>
    </row>
    <row r="3223" spans="1:5" x14ac:dyDescent="0.3">
      <c r="A3223" s="4">
        <v>3220</v>
      </c>
      <c r="B3223" s="5">
        <v>62740.408055639717</v>
      </c>
      <c r="C3223" s="19">
        <v>-22.07482065014274</v>
      </c>
      <c r="D3223" s="5">
        <v>104164.93491852171</v>
      </c>
      <c r="E3223" s="6">
        <v>66.025274853401854</v>
      </c>
    </row>
    <row r="3224" spans="1:5" x14ac:dyDescent="0.3">
      <c r="A3224" s="4">
        <v>3221</v>
      </c>
      <c r="B3224" s="5">
        <v>77462.468074106393</v>
      </c>
      <c r="C3224" s="19">
        <v>-3.7896484159902806</v>
      </c>
      <c r="D3224" s="5">
        <v>135022.83349050969</v>
      </c>
      <c r="E3224" s="6">
        <v>74.307425063369706</v>
      </c>
    </row>
    <row r="3225" spans="1:5" x14ac:dyDescent="0.3">
      <c r="A3225" s="4">
        <v>3222</v>
      </c>
      <c r="B3225" s="5">
        <v>54664.75954101266</v>
      </c>
      <c r="C3225" s="19">
        <v>-32.104981090136157</v>
      </c>
      <c r="D3225" s="5">
        <v>104774.89094849033</v>
      </c>
      <c r="E3225" s="6">
        <v>91.668072499033229</v>
      </c>
    </row>
    <row r="3226" spans="1:5" x14ac:dyDescent="0.3">
      <c r="A3226" s="4">
        <v>3223</v>
      </c>
      <c r="B3226" s="5">
        <v>70752.167079144871</v>
      </c>
      <c r="C3226" s="19">
        <v>-12.124012579834746</v>
      </c>
      <c r="D3226" s="5">
        <v>115669.77540963603</v>
      </c>
      <c r="E3226" s="6">
        <v>63.485841048861971</v>
      </c>
    </row>
    <row r="3227" spans="1:5" x14ac:dyDescent="0.3">
      <c r="A3227" s="4">
        <v>3224</v>
      </c>
      <c r="B3227" s="5">
        <v>95348.380868129301</v>
      </c>
      <c r="C3227" s="19">
        <v>18.4251092737289</v>
      </c>
      <c r="D3227" s="5">
        <v>167200.61142120688</v>
      </c>
      <c r="E3227" s="6">
        <v>75.357578071988598</v>
      </c>
    </row>
    <row r="3228" spans="1:5" x14ac:dyDescent="0.3">
      <c r="A3228" s="4">
        <v>3225</v>
      </c>
      <c r="B3228" s="5">
        <v>47459.032196012187</v>
      </c>
      <c r="C3228" s="19">
        <v>-41.054677356175326</v>
      </c>
      <c r="D3228" s="5">
        <v>90136.458495198327</v>
      </c>
      <c r="E3228" s="6">
        <v>89.924771585991522</v>
      </c>
    </row>
    <row r="3229" spans="1:5" x14ac:dyDescent="0.3">
      <c r="A3229" s="4">
        <v>3226</v>
      </c>
      <c r="B3229" s="5">
        <v>94156.397232267278</v>
      </c>
      <c r="C3229" s="19">
        <v>16.944635341773122</v>
      </c>
      <c r="D3229" s="5">
        <v>159407.07504484337</v>
      </c>
      <c r="E3229" s="6">
        <v>69.300312809987986</v>
      </c>
    </row>
    <row r="3230" spans="1:5" x14ac:dyDescent="0.3">
      <c r="A3230" s="4">
        <v>3227</v>
      </c>
      <c r="B3230" s="5">
        <v>79539.258645984402</v>
      </c>
      <c r="C3230" s="19">
        <v>-1.2102218103780262</v>
      </c>
      <c r="D3230" s="5">
        <v>144306.20867388963</v>
      </c>
      <c r="E3230" s="6">
        <v>81.427651112731397</v>
      </c>
    </row>
    <row r="3231" spans="1:5" x14ac:dyDescent="0.3">
      <c r="A3231" s="4">
        <v>3228</v>
      </c>
      <c r="B3231" s="5">
        <v>79223.700339777657</v>
      </c>
      <c r="C3231" s="19">
        <v>-1.6021532365283129</v>
      </c>
      <c r="D3231" s="5">
        <v>130777.29678292241</v>
      </c>
      <c r="E3231" s="6">
        <v>65.073451785311349</v>
      </c>
    </row>
    <row r="3232" spans="1:5" x14ac:dyDescent="0.3">
      <c r="A3232" s="4">
        <v>3229</v>
      </c>
      <c r="B3232" s="5">
        <v>50947.829001301077</v>
      </c>
      <c r="C3232" s="19">
        <v>-36.721503167600567</v>
      </c>
      <c r="D3232" s="5">
        <v>109562.70598778687</v>
      </c>
      <c r="E3232" s="6">
        <v>115.04882177607396</v>
      </c>
    </row>
    <row r="3233" spans="1:5" x14ac:dyDescent="0.3">
      <c r="A3233" s="4">
        <v>3230</v>
      </c>
      <c r="B3233" s="5">
        <v>51390.511953158457</v>
      </c>
      <c r="C3233" s="19">
        <v>-36.171679704737237</v>
      </c>
      <c r="D3233" s="5">
        <v>108072.59746707801</v>
      </c>
      <c r="E3233" s="6">
        <v>110.29679090487419</v>
      </c>
    </row>
    <row r="3234" spans="1:5" x14ac:dyDescent="0.3">
      <c r="A3234" s="4">
        <v>3231</v>
      </c>
      <c r="B3234" s="5">
        <v>81131.985582269073</v>
      </c>
      <c r="C3234" s="19">
        <v>0.76798547280165552</v>
      </c>
      <c r="D3234" s="5">
        <v>145306.57876192522</v>
      </c>
      <c r="E3234" s="6">
        <v>79.099004811834831</v>
      </c>
    </row>
    <row r="3235" spans="1:5" x14ac:dyDescent="0.3">
      <c r="A3235" s="4">
        <v>3232</v>
      </c>
      <c r="B3235" s="5">
        <v>38239.62000154706</v>
      </c>
      <c r="C3235" s="19">
        <v>-52.505421318771809</v>
      </c>
      <c r="D3235" s="5">
        <v>79864.205021269678</v>
      </c>
      <c r="E3235" s="6">
        <v>108.85198393194966</v>
      </c>
    </row>
    <row r="3236" spans="1:5" x14ac:dyDescent="0.3">
      <c r="A3236" s="4">
        <v>3233</v>
      </c>
      <c r="B3236" s="5">
        <v>54709.871787971671</v>
      </c>
      <c r="C3236" s="19">
        <v>-32.048950534325321</v>
      </c>
      <c r="D3236" s="5">
        <v>103777.19849774794</v>
      </c>
      <c r="E3236" s="6">
        <v>89.686422406429486</v>
      </c>
    </row>
    <row r="3237" spans="1:5" x14ac:dyDescent="0.3">
      <c r="A3237" s="4">
        <v>3234</v>
      </c>
      <c r="B3237" s="5">
        <v>33137.256834424872</v>
      </c>
      <c r="C3237" s="19">
        <v>-58.842685886026437</v>
      </c>
      <c r="D3237" s="5">
        <v>56637.065816832583</v>
      </c>
      <c r="E3237" s="6">
        <v>70.916579184052338</v>
      </c>
    </row>
    <row r="3238" spans="1:5" x14ac:dyDescent="0.3">
      <c r="A3238" s="4">
        <v>3235</v>
      </c>
      <c r="B3238" s="5">
        <v>106560.0954962668</v>
      </c>
      <c r="C3238" s="19">
        <v>32.350343429717128</v>
      </c>
      <c r="D3238" s="5">
        <v>216859.80633917014</v>
      </c>
      <c r="E3238" s="6">
        <v>103.50939564123003</v>
      </c>
    </row>
    <row r="3239" spans="1:5" x14ac:dyDescent="0.3">
      <c r="A3239" s="4">
        <v>3236</v>
      </c>
      <c r="B3239" s="5">
        <v>62993.725573669421</v>
      </c>
      <c r="C3239" s="19">
        <v>-21.760193862771203</v>
      </c>
      <c r="D3239" s="5">
        <v>118248.57489236242</v>
      </c>
      <c r="E3239" s="6">
        <v>87.714845908064248</v>
      </c>
    </row>
    <row r="3240" spans="1:5" x14ac:dyDescent="0.3">
      <c r="A3240" s="4">
        <v>3237</v>
      </c>
      <c r="B3240" s="5">
        <v>37847.695603298474</v>
      </c>
      <c r="C3240" s="19">
        <v>-52.992201369644633</v>
      </c>
      <c r="D3240" s="5">
        <v>78784.603831853296</v>
      </c>
      <c r="E3240" s="6">
        <v>108.16222117625338</v>
      </c>
    </row>
    <row r="3241" spans="1:5" x14ac:dyDescent="0.3">
      <c r="A3241" s="4">
        <v>3238</v>
      </c>
      <c r="B3241" s="5">
        <v>37656.523937451173</v>
      </c>
      <c r="C3241" s="19">
        <v>-53.22964143115253</v>
      </c>
      <c r="D3241" s="5">
        <v>65294.00261892553</v>
      </c>
      <c r="E3241" s="6">
        <v>73.393600342350211</v>
      </c>
    </row>
    <row r="3242" spans="1:5" x14ac:dyDescent="0.3">
      <c r="A3242" s="4">
        <v>3239</v>
      </c>
      <c r="B3242" s="5">
        <v>20749.176665924042</v>
      </c>
      <c r="C3242" s="19">
        <v>-74.228995902925703</v>
      </c>
      <c r="D3242" s="5">
        <v>49870.481954640323</v>
      </c>
      <c r="E3242" s="6">
        <v>140.34920882688141</v>
      </c>
    </row>
    <row r="3243" spans="1:5" x14ac:dyDescent="0.3">
      <c r="A3243" s="4">
        <v>3240</v>
      </c>
      <c r="B3243" s="5">
        <v>89620.801823300208</v>
      </c>
      <c r="C3243" s="19">
        <v>11.311310716458099</v>
      </c>
      <c r="D3243" s="5">
        <v>162641.56593689145</v>
      </c>
      <c r="E3243" s="6">
        <v>81.477472448373945</v>
      </c>
    </row>
    <row r="3244" spans="1:5" x14ac:dyDescent="0.3">
      <c r="A3244" s="4">
        <v>3241</v>
      </c>
      <c r="B3244" s="5">
        <v>40076.727955879433</v>
      </c>
      <c r="C3244" s="19">
        <v>-50.223686608034122</v>
      </c>
      <c r="D3244" s="5">
        <v>80318.153980922041</v>
      </c>
      <c r="E3244" s="6">
        <v>100.41095687588191</v>
      </c>
    </row>
    <row r="3245" spans="1:5" x14ac:dyDescent="0.3">
      <c r="A3245" s="4">
        <v>3242</v>
      </c>
      <c r="B3245" s="5">
        <v>69231.617802307883</v>
      </c>
      <c r="C3245" s="19">
        <v>-14.012573377889151</v>
      </c>
      <c r="D3245" s="5">
        <v>122183.71211844559</v>
      </c>
      <c r="E3245" s="6">
        <v>76.485420963790489</v>
      </c>
    </row>
    <row r="3246" spans="1:5" x14ac:dyDescent="0.3">
      <c r="A3246" s="4">
        <v>3243</v>
      </c>
      <c r="B3246" s="5">
        <v>73023.35320929451</v>
      </c>
      <c r="C3246" s="19">
        <v>-9.3031417564912573</v>
      </c>
      <c r="D3246" s="5">
        <v>148332.84561942835</v>
      </c>
      <c r="E3246" s="6">
        <v>103.13069600390297</v>
      </c>
    </row>
    <row r="3247" spans="1:5" x14ac:dyDescent="0.3">
      <c r="A3247" s="4">
        <v>3244</v>
      </c>
      <c r="B3247" s="5">
        <v>42797.570434778776</v>
      </c>
      <c r="C3247" s="19">
        <v>-46.844331185880748</v>
      </c>
      <c r="D3247" s="5">
        <v>80996.828589504279</v>
      </c>
      <c r="E3247" s="6">
        <v>89.255669811769209</v>
      </c>
    </row>
    <row r="3248" spans="1:5" x14ac:dyDescent="0.3">
      <c r="A3248" s="4">
        <v>3245</v>
      </c>
      <c r="B3248" s="5">
        <v>38924.771358991864</v>
      </c>
      <c r="C3248" s="19">
        <v>-51.654445941574124</v>
      </c>
      <c r="D3248" s="5">
        <v>87323.09585880072</v>
      </c>
      <c r="E3248" s="6">
        <v>124.33810863895683</v>
      </c>
    </row>
    <row r="3249" spans="1:5" x14ac:dyDescent="0.3">
      <c r="A3249" s="4">
        <v>3246</v>
      </c>
      <c r="B3249" s="5">
        <v>67343.294861469141</v>
      </c>
      <c r="C3249" s="19">
        <v>-16.357918401861813</v>
      </c>
      <c r="D3249" s="5">
        <v>136134.27071810095</v>
      </c>
      <c r="E3249" s="6">
        <v>102.14970324535007</v>
      </c>
    </row>
    <row r="3250" spans="1:5" x14ac:dyDescent="0.3">
      <c r="A3250" s="4">
        <v>3247</v>
      </c>
      <c r="B3250" s="5">
        <v>200320.63299135145</v>
      </c>
      <c r="C3250" s="19">
        <v>148.80331092977033</v>
      </c>
      <c r="D3250" s="5">
        <v>404634.42475309741</v>
      </c>
      <c r="E3250" s="6">
        <v>101.99338366236439</v>
      </c>
    </row>
    <row r="3251" spans="1:5" x14ac:dyDescent="0.3">
      <c r="A3251" s="4">
        <v>3248</v>
      </c>
      <c r="B3251" s="5">
        <v>79066.778300471895</v>
      </c>
      <c r="C3251" s="19">
        <v>-1.7970543925106361</v>
      </c>
      <c r="D3251" s="5">
        <v>147618.05576921531</v>
      </c>
      <c r="E3251" s="6">
        <v>86.700481469262385</v>
      </c>
    </row>
    <row r="3252" spans="1:5" x14ac:dyDescent="0.3">
      <c r="A3252" s="4">
        <v>3249</v>
      </c>
      <c r="B3252" s="5">
        <v>122840.13027431171</v>
      </c>
      <c r="C3252" s="19">
        <v>52.57055986146262</v>
      </c>
      <c r="D3252" s="5">
        <v>221557.05528267869</v>
      </c>
      <c r="E3252" s="6">
        <v>80.362113576340477</v>
      </c>
    </row>
    <row r="3253" spans="1:5" x14ac:dyDescent="0.3">
      <c r="A3253" s="4">
        <v>3250</v>
      </c>
      <c r="B3253" s="5">
        <v>42576.48630783429</v>
      </c>
      <c r="C3253" s="19">
        <v>-47.118923283341715</v>
      </c>
      <c r="D3253" s="5">
        <v>81255.74534230787</v>
      </c>
      <c r="E3253" s="6">
        <v>90.846526777284581</v>
      </c>
    </row>
    <row r="3254" spans="1:5" x14ac:dyDescent="0.3">
      <c r="A3254" s="4">
        <v>3251</v>
      </c>
      <c r="B3254" s="5">
        <v>16738.604774974487</v>
      </c>
      <c r="C3254" s="19">
        <v>-79.21022799214937</v>
      </c>
      <c r="D3254" s="5">
        <v>35208.031106224676</v>
      </c>
      <c r="E3254" s="6">
        <v>110.34029765051514</v>
      </c>
    </row>
    <row r="3255" spans="1:5" x14ac:dyDescent="0.3">
      <c r="A3255" s="4">
        <v>3252</v>
      </c>
      <c r="B3255" s="5">
        <v>96622.667044184214</v>
      </c>
      <c r="C3255" s="19">
        <v>20.007805049696156</v>
      </c>
      <c r="D3255" s="5">
        <v>203893.44403822318</v>
      </c>
      <c r="E3255" s="6">
        <v>111.02030224955963</v>
      </c>
    </row>
    <row r="3256" spans="1:5" x14ac:dyDescent="0.3">
      <c r="A3256" s="4">
        <v>3253</v>
      </c>
      <c r="B3256" s="5">
        <v>128932.88354167891</v>
      </c>
      <c r="C3256" s="19">
        <v>60.137914072371991</v>
      </c>
      <c r="D3256" s="5">
        <v>253461.72217407177</v>
      </c>
      <c r="E3256" s="6">
        <v>96.584234534813305</v>
      </c>
    </row>
    <row r="3257" spans="1:5" x14ac:dyDescent="0.3">
      <c r="A3257" s="4">
        <v>3254</v>
      </c>
      <c r="B3257" s="5">
        <v>62778.013608255613</v>
      </c>
      <c r="C3257" s="19">
        <v>-22.028113599249071</v>
      </c>
      <c r="D3257" s="5">
        <v>118386.97932959147</v>
      </c>
      <c r="E3257" s="6">
        <v>88.58032060132436</v>
      </c>
    </row>
    <row r="3258" spans="1:5" x14ac:dyDescent="0.3">
      <c r="A3258" s="4">
        <v>3255</v>
      </c>
      <c r="B3258" s="5">
        <v>176386.55418197386</v>
      </c>
      <c r="C3258" s="19">
        <v>119.07657752790305</v>
      </c>
      <c r="D3258" s="5">
        <v>283225.57739624177</v>
      </c>
      <c r="E3258" s="6">
        <v>60.570956618407891</v>
      </c>
    </row>
    <row r="3259" spans="1:5" x14ac:dyDescent="0.3">
      <c r="A3259" s="4">
        <v>3256</v>
      </c>
      <c r="B3259" s="5">
        <v>46336.766303204677</v>
      </c>
      <c r="C3259" s="19">
        <v>-42.448560081606402</v>
      </c>
      <c r="D3259" s="5">
        <v>90889.694645047013</v>
      </c>
      <c r="E3259" s="6">
        <v>96.150275248622677</v>
      </c>
    </row>
    <row r="3260" spans="1:5" x14ac:dyDescent="0.3">
      <c r="A3260" s="4">
        <v>3257</v>
      </c>
      <c r="B3260" s="5">
        <v>73618.473643145087</v>
      </c>
      <c r="C3260" s="19">
        <v>-8.5639870716596764</v>
      </c>
      <c r="D3260" s="5">
        <v>141248.7343194476</v>
      </c>
      <c r="E3260" s="6">
        <v>91.865882745858642</v>
      </c>
    </row>
    <row r="3261" spans="1:5" x14ac:dyDescent="0.3">
      <c r="A3261" s="4">
        <v>3258</v>
      </c>
      <c r="B3261" s="5">
        <v>41457.916185451526</v>
      </c>
      <c r="C3261" s="19">
        <v>-48.508215768095226</v>
      </c>
      <c r="D3261" s="5">
        <v>85919.032617796853</v>
      </c>
      <c r="E3261" s="6">
        <v>107.24397298084097</v>
      </c>
    </row>
    <row r="3262" spans="1:5" x14ac:dyDescent="0.3">
      <c r="A3262" s="4">
        <v>3259</v>
      </c>
      <c r="B3262" s="5">
        <v>41457.047108505125</v>
      </c>
      <c r="C3262" s="19">
        <v>-48.509295183722507</v>
      </c>
      <c r="D3262" s="5">
        <v>82128.68976826733</v>
      </c>
      <c r="E3262" s="6">
        <v>98.105498332557815</v>
      </c>
    </row>
    <row r="3263" spans="1:5" x14ac:dyDescent="0.3">
      <c r="A3263" s="4">
        <v>3260</v>
      </c>
      <c r="B3263" s="5">
        <v>89589.936239961535</v>
      </c>
      <c r="C3263" s="19">
        <v>11.272974878487918</v>
      </c>
      <c r="D3263" s="5">
        <v>182118.23636801424</v>
      </c>
      <c r="E3263" s="6">
        <v>103.27979236442467</v>
      </c>
    </row>
    <row r="3264" spans="1:5" x14ac:dyDescent="0.3">
      <c r="A3264" s="4">
        <v>3261</v>
      </c>
      <c r="B3264" s="5">
        <v>89763.033493540162</v>
      </c>
      <c r="C3264" s="19">
        <v>11.487966061173886</v>
      </c>
      <c r="D3264" s="5">
        <v>148699.82120123791</v>
      </c>
      <c r="E3264" s="6">
        <v>65.658195154399678</v>
      </c>
    </row>
    <row r="3265" spans="1:5" x14ac:dyDescent="0.3">
      <c r="A3265" s="4">
        <v>3262</v>
      </c>
      <c r="B3265" s="5">
        <v>46004.894890728065</v>
      </c>
      <c r="C3265" s="19">
        <v>-42.86075279982073</v>
      </c>
      <c r="D3265" s="5">
        <v>99966.658469180955</v>
      </c>
      <c r="E3265" s="6">
        <v>117.29570017847921</v>
      </c>
    </row>
    <row r="3266" spans="1:5" x14ac:dyDescent="0.3">
      <c r="A3266" s="4">
        <v>3263</v>
      </c>
      <c r="B3266" s="5">
        <v>76906.771474688387</v>
      </c>
      <c r="C3266" s="19">
        <v>-4.4798376977582919</v>
      </c>
      <c r="D3266" s="5">
        <v>145956.93570312887</v>
      </c>
      <c r="E3266" s="6">
        <v>89.78424513785022</v>
      </c>
    </row>
    <row r="3267" spans="1:5" x14ac:dyDescent="0.3">
      <c r="A3267" s="4">
        <v>3264</v>
      </c>
      <c r="B3267" s="5">
        <v>60163.307054454272</v>
      </c>
      <c r="C3267" s="19">
        <v>-25.275645508374129</v>
      </c>
      <c r="D3267" s="5">
        <v>135017.13395923315</v>
      </c>
      <c r="E3267" s="6">
        <v>124.41773993079886</v>
      </c>
    </row>
    <row r="3268" spans="1:5" x14ac:dyDescent="0.3">
      <c r="A3268" s="4">
        <v>3265</v>
      </c>
      <c r="B3268" s="5">
        <v>47159.69254638689</v>
      </c>
      <c r="C3268" s="19">
        <v>-41.42646479917201</v>
      </c>
      <c r="D3268" s="5">
        <v>89456.050448633789</v>
      </c>
      <c r="E3268" s="6">
        <v>89.687518341311588</v>
      </c>
    </row>
    <row r="3269" spans="1:5" x14ac:dyDescent="0.3">
      <c r="A3269" s="4">
        <v>3266</v>
      </c>
      <c r="B3269" s="5">
        <v>35677.800933950362</v>
      </c>
      <c r="C3269" s="19">
        <v>-55.687265627583436</v>
      </c>
      <c r="D3269" s="5">
        <v>56038.09967207224</v>
      </c>
      <c r="E3269" s="6">
        <v>57.067134759270935</v>
      </c>
    </row>
    <row r="3270" spans="1:5" x14ac:dyDescent="0.3">
      <c r="A3270" s="4">
        <v>3267</v>
      </c>
      <c r="B3270" s="5">
        <v>41719.744199758286</v>
      </c>
      <c r="C3270" s="19">
        <v>-48.183018728324981</v>
      </c>
      <c r="D3270" s="5">
        <v>77917.312382320291</v>
      </c>
      <c r="E3270" s="6">
        <v>86.763638840268158</v>
      </c>
    </row>
    <row r="3271" spans="1:5" x14ac:dyDescent="0.3">
      <c r="A3271" s="4">
        <v>3268</v>
      </c>
      <c r="B3271" s="5">
        <v>114129.76532335597</v>
      </c>
      <c r="C3271" s="19">
        <v>41.752065496491333</v>
      </c>
      <c r="D3271" s="5">
        <v>178921.59510195159</v>
      </c>
      <c r="E3271" s="6">
        <v>56.770317186778939</v>
      </c>
    </row>
    <row r="3272" spans="1:5" x14ac:dyDescent="0.3">
      <c r="A3272" s="4">
        <v>3269</v>
      </c>
      <c r="B3272" s="5">
        <v>43497.917602962531</v>
      </c>
      <c r="C3272" s="19">
        <v>-45.974482226028819</v>
      </c>
      <c r="D3272" s="5">
        <v>90344.437749529694</v>
      </c>
      <c r="E3272" s="6">
        <v>107.69830540893885</v>
      </c>
    </row>
    <row r="3273" spans="1:5" x14ac:dyDescent="0.3">
      <c r="A3273" s="4">
        <v>3270</v>
      </c>
      <c r="B3273" s="5">
        <v>56893.691528054122</v>
      </c>
      <c r="C3273" s="19">
        <v>-29.33659098507329</v>
      </c>
      <c r="D3273" s="5">
        <v>106846.95892131334</v>
      </c>
      <c r="E3273" s="6">
        <v>87.801065551577722</v>
      </c>
    </row>
    <row r="3274" spans="1:5" x14ac:dyDescent="0.3">
      <c r="A3274" s="4">
        <v>3271</v>
      </c>
      <c r="B3274" s="5">
        <v>61481.146316407598</v>
      </c>
      <c r="C3274" s="19">
        <v>-23.638855694209614</v>
      </c>
      <c r="D3274" s="5">
        <v>101329.09389509301</v>
      </c>
      <c r="E3274" s="6">
        <v>64.813280112916686</v>
      </c>
    </row>
    <row r="3275" spans="1:5" x14ac:dyDescent="0.3">
      <c r="A3275" s="4">
        <v>3272</v>
      </c>
      <c r="B3275" s="5">
        <v>46491.871300539533</v>
      </c>
      <c r="C3275" s="19">
        <v>-42.255915737874069</v>
      </c>
      <c r="D3275" s="5">
        <v>92755.309208525156</v>
      </c>
      <c r="E3275" s="6">
        <v>99.508659500760388</v>
      </c>
    </row>
    <row r="3276" spans="1:5" x14ac:dyDescent="0.3">
      <c r="A3276" s="4">
        <v>3273</v>
      </c>
      <c r="B3276" s="5">
        <v>26027.232463757107</v>
      </c>
      <c r="C3276" s="19">
        <v>-67.6735166287082</v>
      </c>
      <c r="D3276" s="5">
        <v>51359.707685244626</v>
      </c>
      <c r="E3276" s="6">
        <v>97.330652641470678</v>
      </c>
    </row>
    <row r="3277" spans="1:5" x14ac:dyDescent="0.3">
      <c r="A3277" s="4">
        <v>3274</v>
      </c>
      <c r="B3277" s="5">
        <v>58780.084315847467</v>
      </c>
      <c r="C3277" s="19">
        <v>-26.993643260176235</v>
      </c>
      <c r="D3277" s="5">
        <v>99261.775387744958</v>
      </c>
      <c r="E3277" s="6">
        <v>68.869739713835997</v>
      </c>
    </row>
    <row r="3278" spans="1:5" x14ac:dyDescent="0.3">
      <c r="A3278" s="4">
        <v>3275</v>
      </c>
      <c r="B3278" s="5">
        <v>55855.518573201698</v>
      </c>
      <c r="C3278" s="19">
        <v>-30.626028147026435</v>
      </c>
      <c r="D3278" s="5">
        <v>101945.4809540111</v>
      </c>
      <c r="E3278" s="6">
        <v>82.516398662391794</v>
      </c>
    </row>
    <row r="3279" spans="1:5" x14ac:dyDescent="0.3">
      <c r="A3279" s="4">
        <v>3276</v>
      </c>
      <c r="B3279" s="5">
        <v>57306.778388535233</v>
      </c>
      <c r="C3279" s="19">
        <v>-28.823526618939216</v>
      </c>
      <c r="D3279" s="5">
        <v>97407.178973581234</v>
      </c>
      <c r="E3279" s="6">
        <v>69.974969301482261</v>
      </c>
    </row>
    <row r="3280" spans="1:5" x14ac:dyDescent="0.3">
      <c r="A3280" s="4">
        <v>3277</v>
      </c>
      <c r="B3280" s="5">
        <v>48568.683599909491</v>
      </c>
      <c r="C3280" s="19">
        <v>-39.676462146165299</v>
      </c>
      <c r="D3280" s="5">
        <v>89206.033517151474</v>
      </c>
      <c r="E3280" s="6">
        <v>83.669860711064672</v>
      </c>
    </row>
    <row r="3281" spans="1:5" x14ac:dyDescent="0.3">
      <c r="A3281" s="4">
        <v>3278</v>
      </c>
      <c r="B3281" s="5">
        <v>31432.419036466705</v>
      </c>
      <c r="C3281" s="19">
        <v>-60.960137705123493</v>
      </c>
      <c r="D3281" s="5">
        <v>56345.596557673693</v>
      </c>
      <c r="E3281" s="6">
        <v>79.259497947974225</v>
      </c>
    </row>
    <row r="3282" spans="1:5" x14ac:dyDescent="0.3">
      <c r="A3282" s="4">
        <v>3279</v>
      </c>
      <c r="B3282" s="5">
        <v>96659.56109518242</v>
      </c>
      <c r="C3282" s="19">
        <v>20.053628397520548</v>
      </c>
      <c r="D3282" s="5">
        <v>162814.04636014119</v>
      </c>
      <c r="E3282" s="6">
        <v>68.440705208474157</v>
      </c>
    </row>
    <row r="3283" spans="1:5" x14ac:dyDescent="0.3">
      <c r="A3283" s="4">
        <v>3280</v>
      </c>
      <c r="B3283" s="5">
        <v>61984.614108720634</v>
      </c>
      <c r="C3283" s="19">
        <v>-23.013535916593927</v>
      </c>
      <c r="D3283" s="5">
        <v>100183.94934605628</v>
      </c>
      <c r="E3283" s="6">
        <v>61.627124386600599</v>
      </c>
    </row>
    <row r="3284" spans="1:5" x14ac:dyDescent="0.3">
      <c r="A3284" s="4">
        <v>3281</v>
      </c>
      <c r="B3284" s="5">
        <v>31550.046630995887</v>
      </c>
      <c r="C3284" s="19">
        <v>-60.81404124696769</v>
      </c>
      <c r="D3284" s="5">
        <v>59488.645612498949</v>
      </c>
      <c r="E3284" s="6">
        <v>88.55327317980948</v>
      </c>
    </row>
    <row r="3285" spans="1:5" x14ac:dyDescent="0.3">
      <c r="A3285" s="4">
        <v>3282</v>
      </c>
      <c r="B3285" s="5">
        <v>63277.761675076275</v>
      </c>
      <c r="C3285" s="19">
        <v>-21.407413815113003</v>
      </c>
      <c r="D3285" s="5">
        <v>108773.96096413418</v>
      </c>
      <c r="E3285" s="6">
        <v>71.899191887784269</v>
      </c>
    </row>
    <row r="3286" spans="1:5" x14ac:dyDescent="0.3">
      <c r="A3286" s="4">
        <v>3283</v>
      </c>
      <c r="B3286" s="5">
        <v>28311.893620282084</v>
      </c>
      <c r="C3286" s="19">
        <v>-64.835909480568873</v>
      </c>
      <c r="D3286" s="5">
        <v>64500.483528716504</v>
      </c>
      <c r="E3286" s="6">
        <v>127.82115669758531</v>
      </c>
    </row>
    <row r="3287" spans="1:5" x14ac:dyDescent="0.3">
      <c r="A3287" s="4">
        <v>3284</v>
      </c>
      <c r="B3287" s="5">
        <v>27368.932908282637</v>
      </c>
      <c r="C3287" s="19">
        <v>-66.007090620118717</v>
      </c>
      <c r="D3287" s="5">
        <v>54835.775230238498</v>
      </c>
      <c r="E3287" s="6">
        <v>100.35773924398637</v>
      </c>
    </row>
    <row r="3288" spans="1:5" x14ac:dyDescent="0.3">
      <c r="A3288" s="4">
        <v>3285</v>
      </c>
      <c r="B3288" s="5">
        <v>140739.93557447399</v>
      </c>
      <c r="C3288" s="19">
        <v>74.802572396441477</v>
      </c>
      <c r="D3288" s="5">
        <v>267299.67730690085</v>
      </c>
      <c r="E3288" s="6">
        <v>89.924541471355496</v>
      </c>
    </row>
    <row r="3289" spans="1:5" x14ac:dyDescent="0.3">
      <c r="A3289" s="4">
        <v>3286</v>
      </c>
      <c r="B3289" s="5">
        <v>80979.516480870705</v>
      </c>
      <c r="C3289" s="19">
        <v>0.57861497872959111</v>
      </c>
      <c r="D3289" s="5">
        <v>134646.66581588166</v>
      </c>
      <c r="E3289" s="6">
        <v>66.272499104990843</v>
      </c>
    </row>
    <row r="3290" spans="1:5" x14ac:dyDescent="0.3">
      <c r="A3290" s="4">
        <v>3287</v>
      </c>
      <c r="B3290" s="5">
        <v>58865.776623998245</v>
      </c>
      <c r="C3290" s="19">
        <v>-26.887211238318322</v>
      </c>
      <c r="D3290" s="5">
        <v>125686.99282553648</v>
      </c>
      <c r="E3290" s="6">
        <v>113.51454110315218</v>
      </c>
    </row>
    <row r="3291" spans="1:5" x14ac:dyDescent="0.3">
      <c r="A3291" s="4">
        <v>3288</v>
      </c>
      <c r="B3291" s="5">
        <v>60864.870234286136</v>
      </c>
      <c r="C3291" s="19">
        <v>-24.404286231189129</v>
      </c>
      <c r="D3291" s="5">
        <v>105482.16909194674</v>
      </c>
      <c r="E3291" s="6">
        <v>73.305502313429685</v>
      </c>
    </row>
    <row r="3292" spans="1:5" x14ac:dyDescent="0.3">
      <c r="A3292" s="4">
        <v>3289</v>
      </c>
      <c r="B3292" s="5">
        <v>40868.799300005521</v>
      </c>
      <c r="C3292" s="19">
        <v>-49.239913893419782</v>
      </c>
      <c r="D3292" s="5">
        <v>77839.921975783713</v>
      </c>
      <c r="E3292" s="6">
        <v>90.462952934791005</v>
      </c>
    </row>
    <row r="3293" spans="1:5" x14ac:dyDescent="0.3">
      <c r="A3293" s="4">
        <v>3290</v>
      </c>
      <c r="B3293" s="5">
        <v>82987.759991532876</v>
      </c>
      <c r="C3293" s="19">
        <v>3.0729043943762835</v>
      </c>
      <c r="D3293" s="5">
        <v>156778.26410292374</v>
      </c>
      <c r="E3293" s="6">
        <v>88.917334458623316</v>
      </c>
    </row>
    <row r="3294" spans="1:5" x14ac:dyDescent="0.3">
      <c r="A3294" s="4">
        <v>3291</v>
      </c>
      <c r="B3294" s="5">
        <v>102216.43770282813</v>
      </c>
      <c r="C3294" s="19">
        <v>26.955410194856089</v>
      </c>
      <c r="D3294" s="5">
        <v>171317.37932202741</v>
      </c>
      <c r="E3294" s="6">
        <v>67.602572709582304</v>
      </c>
    </row>
    <row r="3295" spans="1:5" x14ac:dyDescent="0.3">
      <c r="A3295" s="4">
        <v>3292</v>
      </c>
      <c r="B3295" s="5">
        <v>65573.50146031029</v>
      </c>
      <c r="C3295" s="19">
        <v>-18.556046728907344</v>
      </c>
      <c r="D3295" s="5">
        <v>132131.49094309015</v>
      </c>
      <c r="E3295" s="6">
        <v>101.5013503939018</v>
      </c>
    </row>
    <row r="3296" spans="1:5" x14ac:dyDescent="0.3">
      <c r="A3296" s="4">
        <v>3293</v>
      </c>
      <c r="B3296" s="5">
        <v>54240.907602981024</v>
      </c>
      <c r="C3296" s="19">
        <v>-32.631415955838797</v>
      </c>
      <c r="D3296" s="5">
        <v>97861.683134151564</v>
      </c>
      <c r="E3296" s="6">
        <v>80.420438113711029</v>
      </c>
    </row>
    <row r="3297" spans="1:5" x14ac:dyDescent="0.3">
      <c r="A3297" s="4">
        <v>3294</v>
      </c>
      <c r="B3297" s="5">
        <v>33606.927747896269</v>
      </c>
      <c r="C3297" s="19">
        <v>-58.259342689800917</v>
      </c>
      <c r="D3297" s="5">
        <v>70669.272749098207</v>
      </c>
      <c r="E3297" s="6">
        <v>110.28185997609367</v>
      </c>
    </row>
    <row r="3298" spans="1:5" x14ac:dyDescent="0.3">
      <c r="A3298" s="4">
        <v>3295</v>
      </c>
      <c r="B3298" s="5">
        <v>99526.929892050321</v>
      </c>
      <c r="C3298" s="19">
        <v>23.614973225880025</v>
      </c>
      <c r="D3298" s="5">
        <v>174671.83646991162</v>
      </c>
      <c r="E3298" s="6">
        <v>75.50208436989422</v>
      </c>
    </row>
    <row r="3299" spans="1:5" x14ac:dyDescent="0.3">
      <c r="A3299" s="4">
        <v>3296</v>
      </c>
      <c r="B3299" s="5">
        <v>83479.397127824355</v>
      </c>
      <c r="C3299" s="19">
        <v>3.6835301969147167</v>
      </c>
      <c r="D3299" s="5">
        <v>147880.61780404113</v>
      </c>
      <c r="E3299" s="6">
        <v>77.146245531223812</v>
      </c>
    </row>
    <row r="3300" spans="1:5" x14ac:dyDescent="0.3">
      <c r="A3300" s="4">
        <v>3297</v>
      </c>
      <c r="B3300" s="5">
        <v>44833.973565889013</v>
      </c>
      <c r="C3300" s="19">
        <v>-44.315066806859669</v>
      </c>
      <c r="D3300" s="5">
        <v>80783.008587455159</v>
      </c>
      <c r="E3300" s="6">
        <v>80.182576208050435</v>
      </c>
    </row>
    <row r="3301" spans="1:5" x14ac:dyDescent="0.3">
      <c r="A3301" s="4">
        <v>3298</v>
      </c>
      <c r="B3301" s="5">
        <v>65325.371578330363</v>
      </c>
      <c r="C3301" s="19">
        <v>-18.864230340626882</v>
      </c>
      <c r="D3301" s="5">
        <v>96810.242982016425</v>
      </c>
      <c r="E3301" s="6">
        <v>48.197003159688386</v>
      </c>
    </row>
    <row r="3302" spans="1:5" x14ac:dyDescent="0.3">
      <c r="A3302" s="4">
        <v>3299</v>
      </c>
      <c r="B3302" s="5">
        <v>58842.838726385809</v>
      </c>
      <c r="C3302" s="19">
        <v>-26.915700689387439</v>
      </c>
      <c r="D3302" s="5">
        <v>122129.34878650797</v>
      </c>
      <c r="E3302" s="6">
        <v>107.55176233831791</v>
      </c>
    </row>
    <row r="3303" spans="1:5" x14ac:dyDescent="0.3">
      <c r="A3303" s="4">
        <v>3300</v>
      </c>
      <c r="B3303" s="5">
        <v>67307.3602653009</v>
      </c>
      <c r="C3303" s="19">
        <v>-16.402550082433471</v>
      </c>
      <c r="D3303" s="5">
        <v>139235.96690225601</v>
      </c>
      <c r="E3303" s="6">
        <v>106.86588562296745</v>
      </c>
    </row>
    <row r="3304" spans="1:5" x14ac:dyDescent="0.3">
      <c r="A3304" s="4">
        <v>3301</v>
      </c>
      <c r="B3304" s="5">
        <v>89965.889423976987</v>
      </c>
      <c r="C3304" s="19">
        <v>11.739918275884591</v>
      </c>
      <c r="D3304" s="5">
        <v>163583.22475802441</v>
      </c>
      <c r="E3304" s="6">
        <v>81.828052615714512</v>
      </c>
    </row>
    <row r="3305" spans="1:5" x14ac:dyDescent="0.3">
      <c r="A3305" s="4">
        <v>3302</v>
      </c>
      <c r="B3305" s="5">
        <v>107089.52299646138</v>
      </c>
      <c r="C3305" s="19">
        <v>33.007905823459019</v>
      </c>
      <c r="D3305" s="5">
        <v>186744.79803773839</v>
      </c>
      <c r="E3305" s="6">
        <v>74.381949617899693</v>
      </c>
    </row>
    <row r="3306" spans="1:5" x14ac:dyDescent="0.3">
      <c r="A3306" s="4">
        <v>3303</v>
      </c>
      <c r="B3306" s="5">
        <v>87959.149709152742</v>
      </c>
      <c r="C3306" s="19">
        <v>9.247496612839571</v>
      </c>
      <c r="D3306" s="5">
        <v>143177.70176818027</v>
      </c>
      <c r="E3306" s="6">
        <v>62.777496419206138</v>
      </c>
    </row>
    <row r="3307" spans="1:5" x14ac:dyDescent="0.3">
      <c r="A3307" s="4">
        <v>3304</v>
      </c>
      <c r="B3307" s="5">
        <v>74033.81466589206</v>
      </c>
      <c r="C3307" s="19">
        <v>-8.0481229787738204</v>
      </c>
      <c r="D3307" s="5">
        <v>153401.99797630843</v>
      </c>
      <c r="E3307" s="6">
        <v>107.20531377262921</v>
      </c>
    </row>
    <row r="3308" spans="1:5" x14ac:dyDescent="0.3">
      <c r="A3308" s="4">
        <v>3305</v>
      </c>
      <c r="B3308" s="5">
        <v>127893.39990753087</v>
      </c>
      <c r="C3308" s="19">
        <v>58.846849013464606</v>
      </c>
      <c r="D3308" s="5">
        <v>296719.79190906265</v>
      </c>
      <c r="E3308" s="6">
        <v>132.00555472260194</v>
      </c>
    </row>
    <row r="3309" spans="1:5" x14ac:dyDescent="0.3">
      <c r="A3309" s="4">
        <v>3306</v>
      </c>
      <c r="B3309" s="5">
        <v>41559.720087410569</v>
      </c>
      <c r="C3309" s="19">
        <v>-48.38177273776558</v>
      </c>
      <c r="D3309" s="5">
        <v>88927.606552547979</v>
      </c>
      <c r="E3309" s="6">
        <v>113.97547039660229</v>
      </c>
    </row>
    <row r="3310" spans="1:5" x14ac:dyDescent="0.3">
      <c r="A3310" s="4">
        <v>3307</v>
      </c>
      <c r="B3310" s="5">
        <v>67984.113436430809</v>
      </c>
      <c r="C3310" s="19">
        <v>-15.562005465810719</v>
      </c>
      <c r="D3310" s="5">
        <v>102558.64241352632</v>
      </c>
      <c r="E3310" s="6">
        <v>50.856777016625735</v>
      </c>
    </row>
    <row r="3311" spans="1:5" x14ac:dyDescent="0.3">
      <c r="A3311" s="4">
        <v>3308</v>
      </c>
      <c r="B3311" s="5">
        <v>53194.364164964478</v>
      </c>
      <c r="C3311" s="19">
        <v>-33.93124947035043</v>
      </c>
      <c r="D3311" s="5">
        <v>91176.042572587699</v>
      </c>
      <c r="E3311" s="6">
        <v>71.401696408731922</v>
      </c>
    </row>
    <row r="3312" spans="1:5" x14ac:dyDescent="0.3">
      <c r="A3312" s="4">
        <v>3309</v>
      </c>
      <c r="B3312" s="5">
        <v>94002.251843135411</v>
      </c>
      <c r="C3312" s="19">
        <v>16.753182855786704</v>
      </c>
      <c r="D3312" s="5">
        <v>159398.83306558829</v>
      </c>
      <c r="E3312" s="6">
        <v>69.569164504252797</v>
      </c>
    </row>
    <row r="3313" spans="1:5" x14ac:dyDescent="0.3">
      <c r="A3313" s="4">
        <v>3310</v>
      </c>
      <c r="B3313" s="5">
        <v>68148.135601681235</v>
      </c>
      <c r="C3313" s="19">
        <v>-15.358285773182063</v>
      </c>
      <c r="D3313" s="5">
        <v>149046.18956982432</v>
      </c>
      <c r="E3313" s="6">
        <v>118.70912278654811</v>
      </c>
    </row>
    <row r="3314" spans="1:5" x14ac:dyDescent="0.3">
      <c r="A3314" s="4">
        <v>3311</v>
      </c>
      <c r="B3314" s="5">
        <v>64746.222869090867</v>
      </c>
      <c r="C3314" s="19">
        <v>-19.583547738079947</v>
      </c>
      <c r="D3314" s="5">
        <v>118496.99311194476</v>
      </c>
      <c r="E3314" s="6">
        <v>83.017615331061904</v>
      </c>
    </row>
    <row r="3315" spans="1:5" x14ac:dyDescent="0.3">
      <c r="A3315" s="4">
        <v>3312</v>
      </c>
      <c r="B3315" s="5">
        <v>49092.629700895886</v>
      </c>
      <c r="C3315" s="19">
        <v>-39.025707789374771</v>
      </c>
      <c r="D3315" s="5">
        <v>101986.9181227251</v>
      </c>
      <c r="E3315" s="6">
        <v>107.74384819899747</v>
      </c>
    </row>
    <row r="3316" spans="1:5" x14ac:dyDescent="0.3">
      <c r="A3316" s="4">
        <v>3313</v>
      </c>
      <c r="B3316" s="5">
        <v>134656.2864799338</v>
      </c>
      <c r="C3316" s="19">
        <v>67.246525799275176</v>
      </c>
      <c r="D3316" s="5">
        <v>226661.05268691463</v>
      </c>
      <c r="E3316" s="6">
        <v>68.325637526541456</v>
      </c>
    </row>
    <row r="3317" spans="1:5" x14ac:dyDescent="0.3">
      <c r="A3317" s="4">
        <v>3314</v>
      </c>
      <c r="B3317" s="5">
        <v>25553.156141948581</v>
      </c>
      <c r="C3317" s="19">
        <v>-68.262331453911258</v>
      </c>
      <c r="D3317" s="5">
        <v>54306.629036379476</v>
      </c>
      <c r="E3317" s="6">
        <v>112.52415449075824</v>
      </c>
    </row>
    <row r="3318" spans="1:5" x14ac:dyDescent="0.3">
      <c r="A3318" s="4">
        <v>3315</v>
      </c>
      <c r="B3318" s="5">
        <v>68629.248184123702</v>
      </c>
      <c r="C3318" s="19">
        <v>-14.760731733669688</v>
      </c>
      <c r="D3318" s="5">
        <v>139474.5773933609</v>
      </c>
      <c r="E3318" s="6">
        <v>103.22906207447883</v>
      </c>
    </row>
    <row r="3319" spans="1:5" x14ac:dyDescent="0.3">
      <c r="A3319" s="4">
        <v>3316</v>
      </c>
      <c r="B3319" s="5">
        <v>77295.871912559378</v>
      </c>
      <c r="C3319" s="19">
        <v>-3.9965650773552528</v>
      </c>
      <c r="D3319" s="5">
        <v>133790.48064648753</v>
      </c>
      <c r="E3319" s="6">
        <v>73.088778657982459</v>
      </c>
    </row>
    <row r="3320" spans="1:5" x14ac:dyDescent="0.3">
      <c r="A3320" s="4">
        <v>3317</v>
      </c>
      <c r="B3320" s="5">
        <v>98859.361760348547</v>
      </c>
      <c r="C3320" s="19">
        <v>22.785836661371597</v>
      </c>
      <c r="D3320" s="5">
        <v>195731.61445339926</v>
      </c>
      <c r="E3320" s="6">
        <v>97.989963689918497</v>
      </c>
    </row>
    <row r="3321" spans="1:5" x14ac:dyDescent="0.3">
      <c r="A3321" s="4">
        <v>3318</v>
      </c>
      <c r="B3321" s="5">
        <v>75313.808749286327</v>
      </c>
      <c r="C3321" s="19">
        <v>-6.458337837006825</v>
      </c>
      <c r="D3321" s="5">
        <v>154311.15483546103</v>
      </c>
      <c r="E3321" s="6">
        <v>104.89091894044368</v>
      </c>
    </row>
    <row r="3322" spans="1:5" x14ac:dyDescent="0.3">
      <c r="A3322" s="4">
        <v>3319</v>
      </c>
      <c r="B3322" s="5">
        <v>42711.425983065907</v>
      </c>
      <c r="C3322" s="19">
        <v>-46.951324781519574</v>
      </c>
      <c r="D3322" s="5">
        <v>93877.412599288858</v>
      </c>
      <c r="E3322" s="6">
        <v>119.79461101698897</v>
      </c>
    </row>
    <row r="3323" spans="1:5" x14ac:dyDescent="0.3">
      <c r="A3323" s="4">
        <v>3320</v>
      </c>
      <c r="B3323" s="5">
        <v>44943.555738718307</v>
      </c>
      <c r="C3323" s="19">
        <v>-44.178962966672707</v>
      </c>
      <c r="D3323" s="5">
        <v>82664.093700864978</v>
      </c>
      <c r="E3323" s="6">
        <v>83.928690870470902</v>
      </c>
    </row>
    <row r="3324" spans="1:5" x14ac:dyDescent="0.3">
      <c r="A3324" s="4">
        <v>3321</v>
      </c>
      <c r="B3324" s="5">
        <v>77422.747929761812</v>
      </c>
      <c r="C3324" s="19">
        <v>-3.8389818434858238</v>
      </c>
      <c r="D3324" s="5">
        <v>127696.57606277488</v>
      </c>
      <c r="E3324" s="6">
        <v>64.934182107074861</v>
      </c>
    </row>
    <row r="3325" spans="1:5" x14ac:dyDescent="0.3">
      <c r="A3325" s="4">
        <v>3322</v>
      </c>
      <c r="B3325" s="5">
        <v>67114.25142512325</v>
      </c>
      <c r="C3325" s="19">
        <v>-16.642396163631119</v>
      </c>
      <c r="D3325" s="5">
        <v>130367.01085619748</v>
      </c>
      <c r="E3325" s="6">
        <v>94.24639042818329</v>
      </c>
    </row>
    <row r="3326" spans="1:5" x14ac:dyDescent="0.3">
      <c r="A3326" s="4">
        <v>3323</v>
      </c>
      <c r="B3326" s="5">
        <v>38794.615491624558</v>
      </c>
      <c r="C3326" s="19">
        <v>-51.816102832601018</v>
      </c>
      <c r="D3326" s="5">
        <v>74132.006006935393</v>
      </c>
      <c r="E3326" s="6">
        <v>91.088389632163995</v>
      </c>
    </row>
    <row r="3327" spans="1:5" x14ac:dyDescent="0.3">
      <c r="A3327" s="4">
        <v>3324</v>
      </c>
      <c r="B3327" s="5">
        <v>69992.827127967495</v>
      </c>
      <c r="C3327" s="19">
        <v>-13.06713207358324</v>
      </c>
      <c r="D3327" s="5">
        <v>136618.02396728186</v>
      </c>
      <c r="E3327" s="6">
        <v>95.188606566075535</v>
      </c>
    </row>
    <row r="3328" spans="1:5" x14ac:dyDescent="0.3">
      <c r="A3328" s="4">
        <v>3325</v>
      </c>
      <c r="B3328" s="5">
        <v>70137.746473131134</v>
      </c>
      <c r="C3328" s="19">
        <v>-12.887138568390771</v>
      </c>
      <c r="D3328" s="5">
        <v>125630.29070908722</v>
      </c>
      <c r="E3328" s="6">
        <v>79.119371560097903</v>
      </c>
    </row>
    <row r="3329" spans="1:5" x14ac:dyDescent="0.3">
      <c r="A3329" s="4">
        <v>3326</v>
      </c>
      <c r="B3329" s="5">
        <v>138290.77408945805</v>
      </c>
      <c r="C3329" s="19">
        <v>71.760651664791496</v>
      </c>
      <c r="D3329" s="5">
        <v>262425.02010200958</v>
      </c>
      <c r="E3329" s="6">
        <v>89.763215825410825</v>
      </c>
    </row>
    <row r="3330" spans="1:5" x14ac:dyDescent="0.3">
      <c r="A3330" s="4">
        <v>3327</v>
      </c>
      <c r="B3330" s="5">
        <v>32389.751145714494</v>
      </c>
      <c r="C3330" s="19">
        <v>-59.771106925400893</v>
      </c>
      <c r="D3330" s="5">
        <v>67592.380499785853</v>
      </c>
      <c r="E3330" s="6">
        <v>108.68446995996459</v>
      </c>
    </row>
    <row r="3331" spans="1:5" x14ac:dyDescent="0.3">
      <c r="A3331" s="4">
        <v>3328</v>
      </c>
      <c r="B3331" s="5">
        <v>88782.883964450535</v>
      </c>
      <c r="C3331" s="19">
        <v>10.270595466831351</v>
      </c>
      <c r="D3331" s="5">
        <v>157430.21865973421</v>
      </c>
      <c r="E3331" s="6">
        <v>77.320460464846676</v>
      </c>
    </row>
    <row r="3332" spans="1:5" x14ac:dyDescent="0.3">
      <c r="A3332" s="4">
        <v>3329</v>
      </c>
      <c r="B3332" s="5">
        <v>43081.367318422519</v>
      </c>
      <c r="C3332" s="19">
        <v>-46.491848252756412</v>
      </c>
      <c r="D3332" s="5">
        <v>93175.575397272594</v>
      </c>
      <c r="E3332" s="6">
        <v>116.27812949527421</v>
      </c>
    </row>
    <row r="3333" spans="1:5" x14ac:dyDescent="0.3">
      <c r="A3333" s="4">
        <v>3330</v>
      </c>
      <c r="B3333" s="5">
        <v>68956.287409830358</v>
      </c>
      <c r="C3333" s="19">
        <v>-14.354540714079423</v>
      </c>
      <c r="D3333" s="5">
        <v>127671.05046244469</v>
      </c>
      <c r="E3333" s="6">
        <v>85.147801974391101</v>
      </c>
    </row>
    <row r="3334" spans="1:5" x14ac:dyDescent="0.3">
      <c r="A3334" s="4">
        <v>3331</v>
      </c>
      <c r="B3334" s="5">
        <v>78145.478095037048</v>
      </c>
      <c r="C3334" s="19">
        <v>-2.9413326330968865</v>
      </c>
      <c r="D3334" s="5">
        <v>135816.99745694749</v>
      </c>
      <c r="E3334" s="6">
        <v>73.800200303046211</v>
      </c>
    </row>
    <row r="3335" spans="1:5" x14ac:dyDescent="0.3">
      <c r="A3335" s="4">
        <v>3332</v>
      </c>
      <c r="B3335" s="5">
        <v>53755.650278732501</v>
      </c>
      <c r="C3335" s="19">
        <v>-33.234117869880606</v>
      </c>
      <c r="D3335" s="5">
        <v>105024.33149002279</v>
      </c>
      <c r="E3335" s="6">
        <v>95.373567142157441</v>
      </c>
    </row>
    <row r="3336" spans="1:5" x14ac:dyDescent="0.3">
      <c r="A3336" s="4">
        <v>3333</v>
      </c>
      <c r="B3336" s="5">
        <v>88013.186260003466</v>
      </c>
      <c r="C3336" s="19">
        <v>9.3146113806102235</v>
      </c>
      <c r="D3336" s="5">
        <v>152127.44086480493</v>
      </c>
      <c r="E3336" s="6">
        <v>72.846191950600272</v>
      </c>
    </row>
    <row r="3337" spans="1:5" x14ac:dyDescent="0.3">
      <c r="A3337" s="4">
        <v>3334</v>
      </c>
      <c r="B3337" s="5">
        <v>84666.028386776641</v>
      </c>
      <c r="C3337" s="19">
        <v>5.1573563408887964</v>
      </c>
      <c r="D3337" s="5">
        <v>164397.47377156286</v>
      </c>
      <c r="E3337" s="6">
        <v>94.17170842188564</v>
      </c>
    </row>
    <row r="3338" spans="1:5" x14ac:dyDescent="0.3">
      <c r="A3338" s="4">
        <v>3335</v>
      </c>
      <c r="B3338" s="5">
        <v>128907.79544478832</v>
      </c>
      <c r="C3338" s="19">
        <v>60.10675401922073</v>
      </c>
      <c r="D3338" s="5">
        <v>260396.25253610662</v>
      </c>
      <c r="E3338" s="6">
        <v>102.00194382164831</v>
      </c>
    </row>
    <row r="3339" spans="1:5" x14ac:dyDescent="0.3">
      <c r="A3339" s="4">
        <v>3336</v>
      </c>
      <c r="B3339" s="5">
        <v>53543.623284911271</v>
      </c>
      <c r="C3339" s="19">
        <v>-33.497460778104568</v>
      </c>
      <c r="D3339" s="5">
        <v>108832.17596670784</v>
      </c>
      <c r="E3339" s="6">
        <v>103.25889301065851</v>
      </c>
    </row>
    <row r="3340" spans="1:5" x14ac:dyDescent="0.3">
      <c r="A3340" s="4">
        <v>3337</v>
      </c>
      <c r="B3340" s="5">
        <v>78758.354018537051</v>
      </c>
      <c r="C3340" s="19">
        <v>-2.1801251794317174</v>
      </c>
      <c r="D3340" s="5">
        <v>139713.22058893292</v>
      </c>
      <c r="E3340" s="6">
        <v>77.394794914135915</v>
      </c>
    </row>
    <row r="3341" spans="1:5" x14ac:dyDescent="0.3">
      <c r="A3341" s="4">
        <v>3338</v>
      </c>
      <c r="B3341" s="5">
        <v>99078.77963057466</v>
      </c>
      <c r="C3341" s="19">
        <v>23.058359225693629</v>
      </c>
      <c r="D3341" s="5">
        <v>203296.65256960501</v>
      </c>
      <c r="E3341" s="6">
        <v>105.18687586546515</v>
      </c>
    </row>
    <row r="3342" spans="1:5" x14ac:dyDescent="0.3">
      <c r="A3342" s="4">
        <v>3339</v>
      </c>
      <c r="B3342" s="5">
        <v>107598.22938976703</v>
      </c>
      <c r="C3342" s="19">
        <v>33.639732076479348</v>
      </c>
      <c r="D3342" s="5">
        <v>221383.89752866665</v>
      </c>
      <c r="E3342" s="6">
        <v>105.75050238672519</v>
      </c>
    </row>
    <row r="3343" spans="1:5" x14ac:dyDescent="0.3">
      <c r="A3343" s="4">
        <v>3340</v>
      </c>
      <c r="B3343" s="5">
        <v>113846.66421433646</v>
      </c>
      <c r="C3343" s="19">
        <v>41.40044673311121</v>
      </c>
      <c r="D3343" s="5">
        <v>224094.31287761516</v>
      </c>
      <c r="E3343" s="6">
        <v>96.838716728421687</v>
      </c>
    </row>
    <row r="3344" spans="1:5" x14ac:dyDescent="0.3">
      <c r="A3344" s="4">
        <v>3341</v>
      </c>
      <c r="B3344" s="5">
        <v>113609.53903781847</v>
      </c>
      <c r="C3344" s="19">
        <v>41.105931244908703</v>
      </c>
      <c r="D3344" s="5">
        <v>190801.6567861012</v>
      </c>
      <c r="E3344" s="6">
        <v>67.945102499348181</v>
      </c>
    </row>
    <row r="3345" spans="1:5" x14ac:dyDescent="0.3">
      <c r="A3345" s="4">
        <v>3342</v>
      </c>
      <c r="B3345" s="5">
        <v>111682.28190152913</v>
      </c>
      <c r="C3345" s="19">
        <v>38.712228961916637</v>
      </c>
      <c r="D3345" s="5">
        <v>214837.35371736813</v>
      </c>
      <c r="E3345" s="6">
        <v>92.364760156666009</v>
      </c>
    </row>
    <row r="3346" spans="1:5" x14ac:dyDescent="0.3">
      <c r="A3346" s="4">
        <v>3343</v>
      </c>
      <c r="B3346" s="5">
        <v>33922.857516754681</v>
      </c>
      <c r="C3346" s="19">
        <v>-57.8669498976084</v>
      </c>
      <c r="D3346" s="5">
        <v>63525.485177660586</v>
      </c>
      <c r="E3346" s="6">
        <v>87.264546172989725</v>
      </c>
    </row>
    <row r="3347" spans="1:5" x14ac:dyDescent="0.3">
      <c r="A3347" s="4">
        <v>3344</v>
      </c>
      <c r="B3347" s="5">
        <v>71024.159252859215</v>
      </c>
      <c r="C3347" s="19">
        <v>-11.786191396082616</v>
      </c>
      <c r="D3347" s="5">
        <v>150245.97671349838</v>
      </c>
      <c r="E3347" s="6">
        <v>111.54207004210323</v>
      </c>
    </row>
    <row r="3348" spans="1:5" x14ac:dyDescent="0.3">
      <c r="A3348" s="4">
        <v>3345</v>
      </c>
      <c r="B3348" s="5">
        <v>199946.99913847476</v>
      </c>
      <c r="C3348" s="19">
        <v>148.33924820051976</v>
      </c>
      <c r="D3348" s="5">
        <v>322291.62345494766</v>
      </c>
      <c r="E3348" s="6">
        <v>61.188527381569877</v>
      </c>
    </row>
    <row r="3349" spans="1:5" x14ac:dyDescent="0.3">
      <c r="A3349" s="4">
        <v>3346</v>
      </c>
      <c r="B3349" s="5">
        <v>68568.645274801995</v>
      </c>
      <c r="C3349" s="19">
        <v>-14.8360020853357</v>
      </c>
      <c r="D3349" s="5">
        <v>119599.12703301958</v>
      </c>
      <c r="E3349" s="6">
        <v>74.422473353094759</v>
      </c>
    </row>
    <row r="3350" spans="1:5" x14ac:dyDescent="0.3">
      <c r="A3350" s="4">
        <v>3347</v>
      </c>
      <c r="B3350" s="5">
        <v>158045.01497454298</v>
      </c>
      <c r="C3350" s="19">
        <v>96.295920267529795</v>
      </c>
      <c r="D3350" s="5">
        <v>248714.29694947175</v>
      </c>
      <c r="E3350" s="6">
        <v>57.3692767149494</v>
      </c>
    </row>
    <row r="3351" spans="1:5" x14ac:dyDescent="0.3">
      <c r="A3351" s="4">
        <v>3348</v>
      </c>
      <c r="B3351" s="5">
        <v>32963.281048096767</v>
      </c>
      <c r="C3351" s="19">
        <v>-59.058768228687121</v>
      </c>
      <c r="D3351" s="5">
        <v>68749.741349192031</v>
      </c>
      <c r="E3351" s="6">
        <v>108.56461845797205</v>
      </c>
    </row>
    <row r="3352" spans="1:5" x14ac:dyDescent="0.3">
      <c r="A3352" s="4">
        <v>3349</v>
      </c>
      <c r="B3352" s="5">
        <v>66390.47374229155</v>
      </c>
      <c r="C3352" s="19">
        <v>-17.541346417414406</v>
      </c>
      <c r="D3352" s="5">
        <v>130399.99345227289</v>
      </c>
      <c r="E3352" s="6">
        <v>96.413711338237491</v>
      </c>
    </row>
    <row r="3353" spans="1:5" x14ac:dyDescent="0.3">
      <c r="A3353" s="4">
        <v>3350</v>
      </c>
      <c r="B3353" s="5">
        <v>75728.570418034811</v>
      </c>
      <c r="C3353" s="19">
        <v>-5.9431933164928807</v>
      </c>
      <c r="D3353" s="5">
        <v>136694.79894983527</v>
      </c>
      <c r="E3353" s="6">
        <v>80.506245126847546</v>
      </c>
    </row>
    <row r="3354" spans="1:5" x14ac:dyDescent="0.3">
      <c r="A3354" s="4">
        <v>3351</v>
      </c>
      <c r="B3354" s="5">
        <v>64073.054517705365</v>
      </c>
      <c r="C3354" s="19">
        <v>-20.419639917586384</v>
      </c>
      <c r="D3354" s="5">
        <v>124335.07160232578</v>
      </c>
      <c r="E3354" s="6">
        <v>94.052043465429236</v>
      </c>
    </row>
    <row r="3355" spans="1:5" x14ac:dyDescent="0.3">
      <c r="A3355" s="4">
        <v>3352</v>
      </c>
      <c r="B3355" s="5">
        <v>58960.64188892032</v>
      </c>
      <c r="C3355" s="19">
        <v>-26.769386171312558</v>
      </c>
      <c r="D3355" s="5">
        <v>120895.81948167112</v>
      </c>
      <c r="E3355" s="6">
        <v>105.0449513582881</v>
      </c>
    </row>
    <row r="3356" spans="1:5" x14ac:dyDescent="0.3">
      <c r="A3356" s="4">
        <v>3353</v>
      </c>
      <c r="B3356" s="5">
        <v>68035.308601966055</v>
      </c>
      <c r="C3356" s="19">
        <v>-15.498419770724997</v>
      </c>
      <c r="D3356" s="5">
        <v>114302.20659329226</v>
      </c>
      <c r="E3356" s="6">
        <v>68.00424506340697</v>
      </c>
    </row>
    <row r="3357" spans="1:5" x14ac:dyDescent="0.3">
      <c r="A3357" s="4">
        <v>3354</v>
      </c>
      <c r="B3357" s="5">
        <v>52480.601694370111</v>
      </c>
      <c r="C3357" s="19">
        <v>-34.817760576318015</v>
      </c>
      <c r="D3357" s="5">
        <v>101829.2489777641</v>
      </c>
      <c r="E3357" s="6">
        <v>94.032167486920983</v>
      </c>
    </row>
    <row r="3358" spans="1:5" x14ac:dyDescent="0.3">
      <c r="A3358" s="4">
        <v>3355</v>
      </c>
      <c r="B3358" s="5">
        <v>49379.51111517274</v>
      </c>
      <c r="C3358" s="19">
        <v>-38.669393790909226</v>
      </c>
      <c r="D3358" s="5">
        <v>86464.58456577023</v>
      </c>
      <c r="E3358" s="6">
        <v>75.102147860679082</v>
      </c>
    </row>
    <row r="3359" spans="1:5" x14ac:dyDescent="0.3">
      <c r="A3359" s="4">
        <v>3356</v>
      </c>
      <c r="B3359" s="5">
        <v>58170.876631534054</v>
      </c>
      <c r="C3359" s="19">
        <v>-27.750294667660459</v>
      </c>
      <c r="D3359" s="5">
        <v>105393.90566155793</v>
      </c>
      <c r="E3359" s="6">
        <v>81.179847656661551</v>
      </c>
    </row>
    <row r="3360" spans="1:5" x14ac:dyDescent="0.3">
      <c r="A3360" s="4">
        <v>3357</v>
      </c>
      <c r="B3360" s="5">
        <v>43612.529750283764</v>
      </c>
      <c r="C3360" s="19">
        <v>-45.832131029846614</v>
      </c>
      <c r="D3360" s="5">
        <v>83142.04254280754</v>
      </c>
      <c r="E3360" s="6">
        <v>90.637972662584616</v>
      </c>
    </row>
    <row r="3361" spans="1:5" x14ac:dyDescent="0.3">
      <c r="A3361" s="4">
        <v>3358</v>
      </c>
      <c r="B3361" s="5">
        <v>106047.98544952483</v>
      </c>
      <c r="C3361" s="19">
        <v>31.71428975273367</v>
      </c>
      <c r="D3361" s="5">
        <v>204585.67345454358</v>
      </c>
      <c r="E3361" s="6">
        <v>92.918019693942483</v>
      </c>
    </row>
    <row r="3362" spans="1:5" x14ac:dyDescent="0.3">
      <c r="A3362" s="4">
        <v>3359</v>
      </c>
      <c r="B3362" s="5">
        <v>71128.755836632859</v>
      </c>
      <c r="C3362" s="19">
        <v>-11.656279784052369</v>
      </c>
      <c r="D3362" s="5">
        <v>135534.38047576827</v>
      </c>
      <c r="E3362" s="6">
        <v>90.547942082750595</v>
      </c>
    </row>
    <row r="3363" spans="1:5" x14ac:dyDescent="0.3">
      <c r="A3363" s="4">
        <v>3360</v>
      </c>
      <c r="B3363" s="5">
        <v>50835.1722692205</v>
      </c>
      <c r="C3363" s="19">
        <v>-36.861425688419409</v>
      </c>
      <c r="D3363" s="5">
        <v>103259.877562867</v>
      </c>
      <c r="E3363" s="6">
        <v>103.12683709618983</v>
      </c>
    </row>
    <row r="3364" spans="1:5" x14ac:dyDescent="0.3">
      <c r="A3364" s="4">
        <v>3361</v>
      </c>
      <c r="B3364" s="5">
        <v>50955.777507613122</v>
      </c>
      <c r="C3364" s="19">
        <v>-36.711630921003447</v>
      </c>
      <c r="D3364" s="5">
        <v>92864.988794267265</v>
      </c>
      <c r="E3364" s="6">
        <v>82.246240439354764</v>
      </c>
    </row>
    <row r="3365" spans="1:5" x14ac:dyDescent="0.3">
      <c r="A3365" s="4">
        <v>3362</v>
      </c>
      <c r="B3365" s="5">
        <v>18226.897585844072</v>
      </c>
      <c r="C3365" s="19">
        <v>-77.361730543594931</v>
      </c>
      <c r="D3365" s="5">
        <v>41578.372537477</v>
      </c>
      <c r="E3365" s="6">
        <v>128.11546694468103</v>
      </c>
    </row>
    <row r="3366" spans="1:5" x14ac:dyDescent="0.3">
      <c r="A3366" s="4">
        <v>3363</v>
      </c>
      <c r="B3366" s="5">
        <v>67518.104040998718</v>
      </c>
      <c r="C3366" s="19">
        <v>-16.140800963690811</v>
      </c>
      <c r="D3366" s="5">
        <v>133694.83224844595</v>
      </c>
      <c r="E3366" s="6">
        <v>98.013309389231424</v>
      </c>
    </row>
    <row r="3367" spans="1:5" x14ac:dyDescent="0.3">
      <c r="A3367" s="4">
        <v>3364</v>
      </c>
      <c r="B3367" s="5">
        <v>50578.600902267171</v>
      </c>
      <c r="C3367" s="19">
        <v>-37.180093838746799</v>
      </c>
      <c r="D3367" s="5">
        <v>92901.841466837213</v>
      </c>
      <c r="E3367" s="6">
        <v>83.678155997930958</v>
      </c>
    </row>
    <row r="3368" spans="1:5" x14ac:dyDescent="0.3">
      <c r="A3368" s="4">
        <v>3365</v>
      </c>
      <c r="B3368" s="5">
        <v>43391.695069344642</v>
      </c>
      <c r="C3368" s="19">
        <v>-46.106413309037222</v>
      </c>
      <c r="D3368" s="5">
        <v>97164.237548335819</v>
      </c>
      <c r="E3368" s="6">
        <v>123.92358121307963</v>
      </c>
    </row>
    <row r="3369" spans="1:5" x14ac:dyDescent="0.3">
      <c r="A3369" s="4">
        <v>3366</v>
      </c>
      <c r="B3369" s="5">
        <v>102807.20279815307</v>
      </c>
      <c r="C3369" s="19">
        <v>27.689155438686925</v>
      </c>
      <c r="D3369" s="5">
        <v>189734.71377044913</v>
      </c>
      <c r="E3369" s="6">
        <v>84.553911210837569</v>
      </c>
    </row>
    <row r="3370" spans="1:5" x14ac:dyDescent="0.3">
      <c r="A3370" s="4">
        <v>3367</v>
      </c>
      <c r="B3370" s="5">
        <v>34001.035956391046</v>
      </c>
      <c r="C3370" s="19">
        <v>-57.769850291170499</v>
      </c>
      <c r="D3370" s="5">
        <v>61695.694270756292</v>
      </c>
      <c r="E3370" s="6">
        <v>81.452395597257038</v>
      </c>
    </row>
    <row r="3371" spans="1:5" x14ac:dyDescent="0.3">
      <c r="A3371" s="4">
        <v>3368</v>
      </c>
      <c r="B3371" s="5">
        <v>79126.892228518467</v>
      </c>
      <c r="C3371" s="19">
        <v>-1.7223913680001912</v>
      </c>
      <c r="D3371" s="5">
        <v>131273.58680181863</v>
      </c>
      <c r="E3371" s="6">
        <v>65.902619330354213</v>
      </c>
    </row>
    <row r="3372" spans="1:5" x14ac:dyDescent="0.3">
      <c r="A3372" s="4">
        <v>3369</v>
      </c>
      <c r="B3372" s="5">
        <v>55581.376697907108</v>
      </c>
      <c r="C3372" s="19">
        <v>-30.966519314707273</v>
      </c>
      <c r="D3372" s="5">
        <v>104700.89167437557</v>
      </c>
      <c r="E3372" s="6">
        <v>88.374052415866188</v>
      </c>
    </row>
    <row r="3373" spans="1:5" x14ac:dyDescent="0.3">
      <c r="A3373" s="4">
        <v>3370</v>
      </c>
      <c r="B3373" s="5">
        <v>74658.855825847932</v>
      </c>
      <c r="C3373" s="19">
        <v>-7.2718059926393019</v>
      </c>
      <c r="D3373" s="5">
        <v>149792.34793882217</v>
      </c>
      <c r="E3373" s="6">
        <v>100.63574010326847</v>
      </c>
    </row>
    <row r="3374" spans="1:5" x14ac:dyDescent="0.3">
      <c r="A3374" s="4">
        <v>3371</v>
      </c>
      <c r="B3374" s="5">
        <v>52775.892314176097</v>
      </c>
      <c r="C3374" s="19">
        <v>-34.45100213113377</v>
      </c>
      <c r="D3374" s="5">
        <v>98745.085419699361</v>
      </c>
      <c r="E3374" s="6">
        <v>87.102635483390031</v>
      </c>
    </row>
    <row r="3375" spans="1:5" x14ac:dyDescent="0.3">
      <c r="A3375" s="4">
        <v>3372</v>
      </c>
      <c r="B3375" s="5">
        <v>58424.831276614554</v>
      </c>
      <c r="C3375" s="19">
        <v>-27.434876552319583</v>
      </c>
      <c r="D3375" s="5">
        <v>119421.33798941351</v>
      </c>
      <c r="E3375" s="6">
        <v>104.40168226418783</v>
      </c>
    </row>
    <row r="3376" spans="1:5" x14ac:dyDescent="0.3">
      <c r="A3376" s="4">
        <v>3373</v>
      </c>
      <c r="B3376" s="5">
        <v>60136.162194077209</v>
      </c>
      <c r="C3376" s="19">
        <v>-25.309360113982581</v>
      </c>
      <c r="D3376" s="5">
        <v>124094.60030952189</v>
      </c>
      <c r="E3376" s="6">
        <v>106.3560356728982</v>
      </c>
    </row>
    <row r="3377" spans="1:5" x14ac:dyDescent="0.3">
      <c r="A3377" s="4">
        <v>3374</v>
      </c>
      <c r="B3377" s="5">
        <v>56693.813698446582</v>
      </c>
      <c r="C3377" s="19">
        <v>-29.584844322960652</v>
      </c>
      <c r="D3377" s="5">
        <v>120134.25315129924</v>
      </c>
      <c r="E3377" s="6">
        <v>111.90010922583417</v>
      </c>
    </row>
    <row r="3378" spans="1:5" x14ac:dyDescent="0.3">
      <c r="A3378" s="4">
        <v>3375</v>
      </c>
      <c r="B3378" s="5">
        <v>137028.91536549269</v>
      </c>
      <c r="C3378" s="19">
        <v>70.193391099766473</v>
      </c>
      <c r="D3378" s="5">
        <v>254249.44621087384</v>
      </c>
      <c r="E3378" s="6">
        <v>85.544376187115461</v>
      </c>
    </row>
    <row r="3379" spans="1:5" x14ac:dyDescent="0.3">
      <c r="A3379" s="4">
        <v>3376</v>
      </c>
      <c r="B3379" s="5">
        <v>71274.339003269532</v>
      </c>
      <c r="C3379" s="19">
        <v>-11.475461795740561</v>
      </c>
      <c r="D3379" s="5">
        <v>113281.08207328967</v>
      </c>
      <c r="E3379" s="6">
        <v>58.936699599687884</v>
      </c>
    </row>
    <row r="3380" spans="1:5" x14ac:dyDescent="0.3">
      <c r="A3380" s="4">
        <v>3377</v>
      </c>
      <c r="B3380" s="5">
        <v>19050.612697582626</v>
      </c>
      <c r="C3380" s="19">
        <v>-76.338655466389639</v>
      </c>
      <c r="D3380" s="5">
        <v>39584.889727626687</v>
      </c>
      <c r="E3380" s="6">
        <v>107.78801372960409</v>
      </c>
    </row>
    <row r="3381" spans="1:5" x14ac:dyDescent="0.3">
      <c r="A3381" s="4">
        <v>3378</v>
      </c>
      <c r="B3381" s="5">
        <v>45202.313825395802</v>
      </c>
      <c r="C3381" s="19">
        <v>-43.857578854942226</v>
      </c>
      <c r="D3381" s="5">
        <v>74478.363697513749</v>
      </c>
      <c r="E3381" s="6">
        <v>64.766706379685203</v>
      </c>
    </row>
    <row r="3382" spans="1:5" x14ac:dyDescent="0.3">
      <c r="A3382" s="4">
        <v>3379</v>
      </c>
      <c r="B3382" s="5">
        <v>106084.92602443542</v>
      </c>
      <c r="C3382" s="19">
        <v>31.760170884438171</v>
      </c>
      <c r="D3382" s="5">
        <v>215689.54903096968</v>
      </c>
      <c r="E3382" s="6">
        <v>103.3178106579328</v>
      </c>
    </row>
    <row r="3383" spans="1:5" x14ac:dyDescent="0.3">
      <c r="A3383" s="4">
        <v>3380</v>
      </c>
      <c r="B3383" s="5">
        <v>46115.101067986412</v>
      </c>
      <c r="C3383" s="19">
        <v>-42.723873930293735</v>
      </c>
      <c r="D3383" s="5">
        <v>97365.992639909819</v>
      </c>
      <c r="E3383" s="6">
        <v>111.13689525772787</v>
      </c>
    </row>
    <row r="3384" spans="1:5" x14ac:dyDescent="0.3">
      <c r="A3384" s="4">
        <v>3381</v>
      </c>
      <c r="B3384" s="5">
        <v>37575.389169979913</v>
      </c>
      <c r="C3384" s="19">
        <v>-53.330412871802068</v>
      </c>
      <c r="D3384" s="5">
        <v>69948.878016297327</v>
      </c>
      <c r="E3384" s="6">
        <v>86.156097279177473</v>
      </c>
    </row>
    <row r="3385" spans="1:5" x14ac:dyDescent="0.3">
      <c r="A3385" s="4">
        <v>3382</v>
      </c>
      <c r="B3385" s="5">
        <v>74750.016064769603</v>
      </c>
      <c r="C3385" s="19">
        <v>-7.158582661971014</v>
      </c>
      <c r="D3385" s="5">
        <v>125147.4084194412</v>
      </c>
      <c r="E3385" s="6">
        <v>67.421246185423058</v>
      </c>
    </row>
    <row r="3386" spans="1:5" x14ac:dyDescent="0.3">
      <c r="A3386" s="4">
        <v>3383</v>
      </c>
      <c r="B3386" s="5">
        <v>82687.23559038082</v>
      </c>
      <c r="C3386" s="19">
        <v>2.6996454599107258</v>
      </c>
      <c r="D3386" s="5">
        <v>153644.56875137545</v>
      </c>
      <c r="E3386" s="6">
        <v>85.814131594029547</v>
      </c>
    </row>
    <row r="3387" spans="1:5" x14ac:dyDescent="0.3">
      <c r="A3387" s="4">
        <v>3384</v>
      </c>
      <c r="B3387" s="5">
        <v>61429.385159758349</v>
      </c>
      <c r="C3387" s="19">
        <v>-23.703144364625523</v>
      </c>
      <c r="D3387" s="5">
        <v>116366.97801051437</v>
      </c>
      <c r="E3387" s="6">
        <v>89.432105999239241</v>
      </c>
    </row>
    <row r="3388" spans="1:5" x14ac:dyDescent="0.3">
      <c r="A3388" s="4">
        <v>3385</v>
      </c>
      <c r="B3388" s="5">
        <v>98456.550917170709</v>
      </c>
      <c r="C3388" s="19">
        <v>22.285535369565149</v>
      </c>
      <c r="D3388" s="5">
        <v>187618.5409211817</v>
      </c>
      <c r="E3388" s="6">
        <v>90.559733378250257</v>
      </c>
    </row>
    <row r="3389" spans="1:5" x14ac:dyDescent="0.3">
      <c r="A3389" s="4">
        <v>3386</v>
      </c>
      <c r="B3389" s="5">
        <v>62082.891225237596</v>
      </c>
      <c r="C3389" s="19">
        <v>-22.89147324330402</v>
      </c>
      <c r="D3389" s="5">
        <v>119083.31882807342</v>
      </c>
      <c r="E3389" s="6">
        <v>91.813423115295123</v>
      </c>
    </row>
    <row r="3390" spans="1:5" x14ac:dyDescent="0.3">
      <c r="A3390" s="4">
        <v>3387</v>
      </c>
      <c r="B3390" s="5">
        <v>148083.41391317762</v>
      </c>
      <c r="C3390" s="19">
        <v>83.923358893204352</v>
      </c>
      <c r="D3390" s="5">
        <v>281559.50763725297</v>
      </c>
      <c r="E3390" s="6">
        <v>90.135748627684492</v>
      </c>
    </row>
    <row r="3391" spans="1:5" x14ac:dyDescent="0.3">
      <c r="A3391" s="4">
        <v>3388</v>
      </c>
      <c r="B3391" s="5">
        <v>51917.478420528285</v>
      </c>
      <c r="C3391" s="19">
        <v>-35.517173976232279</v>
      </c>
      <c r="D3391" s="5">
        <v>90077.520325811507</v>
      </c>
      <c r="E3391" s="6">
        <v>73.501339175584192</v>
      </c>
    </row>
    <row r="3392" spans="1:5" x14ac:dyDescent="0.3">
      <c r="A3392" s="4">
        <v>3389</v>
      </c>
      <c r="B3392" s="5">
        <v>65662.554773223164</v>
      </c>
      <c r="C3392" s="19">
        <v>-18.445440253822252</v>
      </c>
      <c r="D3392" s="5">
        <v>116068.69474724524</v>
      </c>
      <c r="E3392" s="6">
        <v>76.765426121643117</v>
      </c>
    </row>
    <row r="3393" spans="1:5" x14ac:dyDescent="0.3">
      <c r="A3393" s="4">
        <v>3390</v>
      </c>
      <c r="B3393" s="5">
        <v>54383.93635041394</v>
      </c>
      <c r="C3393" s="19">
        <v>-32.453770621017078</v>
      </c>
      <c r="D3393" s="5">
        <v>104602.46124333433</v>
      </c>
      <c r="E3393" s="6">
        <v>92.340731956851357</v>
      </c>
    </row>
    <row r="3394" spans="1:5" x14ac:dyDescent="0.3">
      <c r="A3394" s="4">
        <v>3391</v>
      </c>
      <c r="B3394" s="5">
        <v>49644.308344583391</v>
      </c>
      <c r="C3394" s="19">
        <v>-38.34050891061213</v>
      </c>
      <c r="D3394" s="5">
        <v>95049.439308345129</v>
      </c>
      <c r="E3394" s="6">
        <v>91.460899502522366</v>
      </c>
    </row>
    <row r="3395" spans="1:5" x14ac:dyDescent="0.3">
      <c r="A3395" s="4">
        <v>3392</v>
      </c>
      <c r="B3395" s="5">
        <v>49801.533282581804</v>
      </c>
      <c r="C3395" s="19">
        <v>-38.145231546765032</v>
      </c>
      <c r="D3395" s="5">
        <v>108467.98213448274</v>
      </c>
      <c r="E3395" s="6">
        <v>117.80048722399408</v>
      </c>
    </row>
    <row r="3396" spans="1:5" x14ac:dyDescent="0.3">
      <c r="A3396" s="4">
        <v>3393</v>
      </c>
      <c r="B3396" s="5">
        <v>74771.006275409047</v>
      </c>
      <c r="C3396" s="19">
        <v>-7.1325122875606422</v>
      </c>
      <c r="D3396" s="5">
        <v>135134.71405371782</v>
      </c>
      <c r="E3396" s="6">
        <v>80.731436936888471</v>
      </c>
    </row>
    <row r="3397" spans="1:5" x14ac:dyDescent="0.3">
      <c r="A3397" s="4">
        <v>3394</v>
      </c>
      <c r="B3397" s="5">
        <v>45483.185928888714</v>
      </c>
      <c r="C3397" s="19">
        <v>-43.508728573005158</v>
      </c>
      <c r="D3397" s="5">
        <v>88196.060144418894</v>
      </c>
      <c r="E3397" s="6">
        <v>93.909152015670543</v>
      </c>
    </row>
    <row r="3398" spans="1:5" x14ac:dyDescent="0.3">
      <c r="A3398" s="4">
        <v>3395</v>
      </c>
      <c r="B3398" s="5">
        <v>63530.394079480116</v>
      </c>
      <c r="C3398" s="19">
        <v>-21.09363795625508</v>
      </c>
      <c r="D3398" s="5">
        <v>115172.71619590535</v>
      </c>
      <c r="E3398" s="6">
        <v>81.287583470390203</v>
      </c>
    </row>
    <row r="3399" spans="1:5" x14ac:dyDescent="0.3">
      <c r="A3399" s="4">
        <v>3396</v>
      </c>
      <c r="B3399" s="5">
        <v>124177.47477089662</v>
      </c>
      <c r="C3399" s="19">
        <v>54.231575672142476</v>
      </c>
      <c r="D3399" s="5">
        <v>240950.95585759499</v>
      </c>
      <c r="E3399" s="6">
        <v>94.037571066847363</v>
      </c>
    </row>
    <row r="3400" spans="1:5" x14ac:dyDescent="0.3">
      <c r="A3400" s="4">
        <v>3397</v>
      </c>
      <c r="B3400" s="5">
        <v>78130.162483294785</v>
      </c>
      <c r="C3400" s="19">
        <v>-2.9603550116381632</v>
      </c>
      <c r="D3400" s="5">
        <v>150506.24192483729</v>
      </c>
      <c r="E3400" s="6">
        <v>92.635260366977263</v>
      </c>
    </row>
    <row r="3401" spans="1:5" x14ac:dyDescent="0.3">
      <c r="A3401" s="4">
        <v>3398</v>
      </c>
      <c r="B3401" s="5">
        <v>66664.935531421608</v>
      </c>
      <c r="C3401" s="19">
        <v>-17.200457908629513</v>
      </c>
      <c r="D3401" s="5">
        <v>111227.81273310652</v>
      </c>
      <c r="E3401" s="6">
        <v>66.84605159586603</v>
      </c>
    </row>
    <row r="3402" spans="1:5" x14ac:dyDescent="0.3">
      <c r="A3402" s="4">
        <v>3399</v>
      </c>
      <c r="B3402" s="5">
        <v>66587.216293464604</v>
      </c>
      <c r="C3402" s="19">
        <v>-17.296987174925693</v>
      </c>
      <c r="D3402" s="5">
        <v>117834.19375411297</v>
      </c>
      <c r="E3402" s="6">
        <v>76.962186307341028</v>
      </c>
    </row>
    <row r="3403" spans="1:5" x14ac:dyDescent="0.3">
      <c r="A3403" s="4">
        <v>3400</v>
      </c>
      <c r="B3403" s="5">
        <v>47067.135876845619</v>
      </c>
      <c r="C3403" s="19">
        <v>-41.541422532115554</v>
      </c>
      <c r="D3403" s="5">
        <v>96447.801101305566</v>
      </c>
      <c r="E3403" s="6">
        <v>104.91538162353417</v>
      </c>
    </row>
    <row r="3404" spans="1:5" x14ac:dyDescent="0.3">
      <c r="A3404" s="4">
        <v>3401</v>
      </c>
      <c r="B3404" s="5">
        <v>109604.9558188423</v>
      </c>
      <c r="C3404" s="19">
        <v>36.132137238286901</v>
      </c>
      <c r="D3404" s="5">
        <v>191644.18001633507</v>
      </c>
      <c r="E3404" s="6">
        <v>74.849922236261989</v>
      </c>
    </row>
    <row r="3405" spans="1:5" x14ac:dyDescent="0.3">
      <c r="A3405" s="4">
        <v>3402</v>
      </c>
      <c r="B3405" s="5">
        <v>126387.06400674664</v>
      </c>
      <c r="C3405" s="19">
        <v>56.975941589246993</v>
      </c>
      <c r="D3405" s="5">
        <v>222445.59868542623</v>
      </c>
      <c r="E3405" s="6">
        <v>76.003454494007315</v>
      </c>
    </row>
    <row r="3406" spans="1:5" x14ac:dyDescent="0.3">
      <c r="A3406" s="4">
        <v>3403</v>
      </c>
      <c r="B3406" s="5">
        <v>39513.105612318424</v>
      </c>
      <c r="C3406" s="19">
        <v>-50.923719865207531</v>
      </c>
      <c r="D3406" s="5">
        <v>73796.981908251881</v>
      </c>
      <c r="E3406" s="6">
        <v>86.765835700966193</v>
      </c>
    </row>
    <row r="3407" spans="1:5" x14ac:dyDescent="0.3">
      <c r="A3407" s="4">
        <v>3404</v>
      </c>
      <c r="B3407" s="5">
        <v>66272.978827064086</v>
      </c>
      <c r="C3407" s="19">
        <v>-17.687278084509664</v>
      </c>
      <c r="D3407" s="5">
        <v>135250.59658477554</v>
      </c>
      <c r="E3407" s="6">
        <v>104.08105834159799</v>
      </c>
    </row>
    <row r="3408" spans="1:5" x14ac:dyDescent="0.3">
      <c r="A3408" s="4">
        <v>3405</v>
      </c>
      <c r="B3408" s="5">
        <v>132062.46288999871</v>
      </c>
      <c r="C3408" s="19">
        <v>64.024931061345953</v>
      </c>
      <c r="D3408" s="5">
        <v>214725.22276447623</v>
      </c>
      <c r="E3408" s="6">
        <v>62.593683371883934</v>
      </c>
    </row>
    <row r="3409" spans="1:5" x14ac:dyDescent="0.3">
      <c r="A3409" s="4">
        <v>3406</v>
      </c>
      <c r="B3409" s="5">
        <v>53671.199305474824</v>
      </c>
      <c r="C3409" s="19">
        <v>-33.339008122292398</v>
      </c>
      <c r="D3409" s="5">
        <v>103664.95137798478</v>
      </c>
      <c r="E3409" s="6">
        <v>93.148192549165287</v>
      </c>
    </row>
    <row r="3410" spans="1:5" x14ac:dyDescent="0.3">
      <c r="A3410" s="4">
        <v>3407</v>
      </c>
      <c r="B3410" s="5">
        <v>72500.636295002769</v>
      </c>
      <c r="C3410" s="19">
        <v>-9.9523694322064848</v>
      </c>
      <c r="D3410" s="5">
        <v>124101.75971662518</v>
      </c>
      <c r="E3410" s="6">
        <v>71.173338688586256</v>
      </c>
    </row>
    <row r="3411" spans="1:5" x14ac:dyDescent="0.3">
      <c r="A3411" s="4">
        <v>3408</v>
      </c>
      <c r="B3411" s="5">
        <v>77607.77863431281</v>
      </c>
      <c r="C3411" s="19">
        <v>-3.6091690117844384</v>
      </c>
      <c r="D3411" s="5">
        <v>169962.77823753044</v>
      </c>
      <c r="E3411" s="6">
        <v>119.00224594546584</v>
      </c>
    </row>
    <row r="3412" spans="1:5" x14ac:dyDescent="0.3">
      <c r="A3412" s="4">
        <v>3409</v>
      </c>
      <c r="B3412" s="5">
        <v>54404.933028381638</v>
      </c>
      <c r="C3412" s="19">
        <v>-32.427692214020858</v>
      </c>
      <c r="D3412" s="5">
        <v>110689.12143379792</v>
      </c>
      <c r="E3412" s="6">
        <v>103.45420033152928</v>
      </c>
    </row>
    <row r="3413" spans="1:5" x14ac:dyDescent="0.3">
      <c r="A3413" s="4">
        <v>3410</v>
      </c>
      <c r="B3413" s="5">
        <v>71424.115292400369</v>
      </c>
      <c r="C3413" s="19">
        <v>-11.289435842856637</v>
      </c>
      <c r="D3413" s="5">
        <v>146623.99162277367</v>
      </c>
      <c r="E3413" s="6">
        <v>105.28639524972132</v>
      </c>
    </row>
    <row r="3414" spans="1:5" x14ac:dyDescent="0.3">
      <c r="A3414" s="4">
        <v>3411</v>
      </c>
      <c r="B3414" s="5">
        <v>70325.179898702117</v>
      </c>
      <c r="C3414" s="19">
        <v>-12.654341496194105</v>
      </c>
      <c r="D3414" s="5">
        <v>127655.68581154635</v>
      </c>
      <c r="E3414" s="6">
        <v>81.522018138345771</v>
      </c>
    </row>
    <row r="3415" spans="1:5" x14ac:dyDescent="0.3">
      <c r="A3415" s="4">
        <v>3412</v>
      </c>
      <c r="B3415" s="5">
        <v>76970.518228627538</v>
      </c>
      <c r="C3415" s="19">
        <v>-4.4006626112769567</v>
      </c>
      <c r="D3415" s="5">
        <v>141145.9862135241</v>
      </c>
      <c r="E3415" s="6">
        <v>83.376686894941372</v>
      </c>
    </row>
    <row r="3416" spans="1:5" x14ac:dyDescent="0.3">
      <c r="A3416" s="4">
        <v>3413</v>
      </c>
      <c r="B3416" s="5">
        <v>85360.814967548431</v>
      </c>
      <c r="C3416" s="19">
        <v>6.0202989100302329</v>
      </c>
      <c r="D3416" s="5">
        <v>144687.89827195715</v>
      </c>
      <c r="E3416" s="6">
        <v>69.501542747644876</v>
      </c>
    </row>
    <row r="3417" spans="1:5" x14ac:dyDescent="0.3">
      <c r="A3417" s="4">
        <v>3414</v>
      </c>
      <c r="B3417" s="5">
        <v>53728.042864796415</v>
      </c>
      <c r="C3417" s="19">
        <v>-33.268406978750406</v>
      </c>
      <c r="D3417" s="5">
        <v>93759.909359815341</v>
      </c>
      <c r="E3417" s="6">
        <v>74.508328166274097</v>
      </c>
    </row>
    <row r="3418" spans="1:5" x14ac:dyDescent="0.3">
      <c r="A3418" s="4">
        <v>3415</v>
      </c>
      <c r="B3418" s="5">
        <v>78746.864051424593</v>
      </c>
      <c r="C3418" s="19">
        <v>-2.1943960102361371</v>
      </c>
      <c r="D3418" s="5">
        <v>140001.59839296309</v>
      </c>
      <c r="E3418" s="6">
        <v>77.786887235962695</v>
      </c>
    </row>
    <row r="3419" spans="1:5" x14ac:dyDescent="0.3">
      <c r="A3419" s="4">
        <v>3416</v>
      </c>
      <c r="B3419" s="5">
        <v>41034.658962179092</v>
      </c>
      <c r="C3419" s="19">
        <v>-49.033911982971254</v>
      </c>
      <c r="D3419" s="5">
        <v>76501.602969509797</v>
      </c>
      <c r="E3419" s="6">
        <v>86.43167728046663</v>
      </c>
    </row>
    <row r="3420" spans="1:5" x14ac:dyDescent="0.3">
      <c r="A3420" s="4">
        <v>3417</v>
      </c>
      <c r="B3420" s="5">
        <v>67037.243876669469</v>
      </c>
      <c r="C3420" s="19">
        <v>-16.738041493499423</v>
      </c>
      <c r="D3420" s="5">
        <v>116997.1431508223</v>
      </c>
      <c r="E3420" s="6">
        <v>74.525586651601657</v>
      </c>
    </row>
    <row r="3421" spans="1:5" x14ac:dyDescent="0.3">
      <c r="A3421" s="4">
        <v>3418</v>
      </c>
      <c r="B3421" s="5">
        <v>61370.678779348978</v>
      </c>
      <c r="C3421" s="19">
        <v>-23.776059179242669</v>
      </c>
      <c r="D3421" s="5">
        <v>124996.38802223215</v>
      </c>
      <c r="E3421" s="6">
        <v>103.67444276059237</v>
      </c>
    </row>
    <row r="3422" spans="1:5" x14ac:dyDescent="0.3">
      <c r="A3422" s="4">
        <v>3419</v>
      </c>
      <c r="B3422" s="5">
        <v>103827.31013743294</v>
      </c>
      <c r="C3422" s="19">
        <v>28.956154647538007</v>
      </c>
      <c r="D3422" s="5">
        <v>173590.02307670281</v>
      </c>
      <c r="E3422" s="6">
        <v>67.191101114848465</v>
      </c>
    </row>
    <row r="3423" spans="1:5" x14ac:dyDescent="0.3">
      <c r="A3423" s="4">
        <v>3420</v>
      </c>
      <c r="B3423" s="5">
        <v>67902.720339033287</v>
      </c>
      <c r="C3423" s="19">
        <v>-15.663097758785884</v>
      </c>
      <c r="D3423" s="5">
        <v>129744.51419237335</v>
      </c>
      <c r="E3423" s="6">
        <v>91.074103577247769</v>
      </c>
    </row>
    <row r="3424" spans="1:5" x14ac:dyDescent="0.3">
      <c r="A3424" s="4">
        <v>3421</v>
      </c>
      <c r="B3424" s="5">
        <v>79757.694063680086</v>
      </c>
      <c r="C3424" s="19">
        <v>-0.93891947703645828</v>
      </c>
      <c r="D3424" s="5">
        <v>135192.98032249903</v>
      </c>
      <c r="E3424" s="6">
        <v>69.504625114359925</v>
      </c>
    </row>
    <row r="3425" spans="1:5" x14ac:dyDescent="0.3">
      <c r="A3425" s="4">
        <v>3422</v>
      </c>
      <c r="B3425" s="5">
        <v>70156.58121543868</v>
      </c>
      <c r="C3425" s="19">
        <v>-12.86374534036104</v>
      </c>
      <c r="D3425" s="5">
        <v>134010.74735176098</v>
      </c>
      <c r="E3425" s="6">
        <v>91.016644525817526</v>
      </c>
    </row>
    <row r="3426" spans="1:5" x14ac:dyDescent="0.3">
      <c r="A3426" s="4">
        <v>3423</v>
      </c>
      <c r="B3426" s="5">
        <v>47404.98146611909</v>
      </c>
      <c r="C3426" s="19">
        <v>-41.121809734676518</v>
      </c>
      <c r="D3426" s="5">
        <v>96199.836682059802</v>
      </c>
      <c r="E3426" s="6">
        <v>102.93191497356662</v>
      </c>
    </row>
    <row r="3427" spans="1:5" x14ac:dyDescent="0.3">
      <c r="A3427" s="4">
        <v>3424</v>
      </c>
      <c r="B3427" s="5">
        <v>54445.539909927589</v>
      </c>
      <c r="C3427" s="19">
        <v>-32.377257436413096</v>
      </c>
      <c r="D3427" s="5">
        <v>110401.24613341346</v>
      </c>
      <c r="E3427" s="6">
        <v>102.77371905220636</v>
      </c>
    </row>
    <row r="3428" spans="1:5" x14ac:dyDescent="0.3">
      <c r="A3428" s="4">
        <v>3425</v>
      </c>
      <c r="B3428" s="5">
        <v>41358.517253392267</v>
      </c>
      <c r="C3428" s="19">
        <v>-48.631671764763801</v>
      </c>
      <c r="D3428" s="5">
        <v>84505.342009306696</v>
      </c>
      <c r="E3428" s="6">
        <v>104.32391589757847</v>
      </c>
    </row>
    <row r="3429" spans="1:5" x14ac:dyDescent="0.3">
      <c r="A3429" s="4">
        <v>3426</v>
      </c>
      <c r="B3429" s="5">
        <v>50411.102857753882</v>
      </c>
      <c r="C3429" s="19">
        <v>-37.388130661648447</v>
      </c>
      <c r="D3429" s="5">
        <v>97235.795740465124</v>
      </c>
      <c r="E3429" s="6">
        <v>92.885674441278368</v>
      </c>
    </row>
    <row r="3430" spans="1:5" x14ac:dyDescent="0.3">
      <c r="A3430" s="4">
        <v>3427</v>
      </c>
      <c r="B3430" s="5">
        <v>59311.211874829954</v>
      </c>
      <c r="C3430" s="19">
        <v>-26.333969350267044</v>
      </c>
      <c r="D3430" s="5">
        <v>112539.28204983336</v>
      </c>
      <c r="E3430" s="6">
        <v>89.743690092415619</v>
      </c>
    </row>
    <row r="3431" spans="1:5" x14ac:dyDescent="0.3">
      <c r="A3431" s="4">
        <v>3428</v>
      </c>
      <c r="B3431" s="5">
        <v>75335.640443412878</v>
      </c>
      <c r="C3431" s="19">
        <v>-6.4312223187460242</v>
      </c>
      <c r="D3431" s="5">
        <v>128538.78748660811</v>
      </c>
      <c r="E3431" s="6">
        <v>70.621483709503863</v>
      </c>
    </row>
    <row r="3432" spans="1:5" x14ac:dyDescent="0.3">
      <c r="A3432" s="4">
        <v>3429</v>
      </c>
      <c r="B3432" s="5">
        <v>47539.598591141876</v>
      </c>
      <c r="C3432" s="19">
        <v>-40.954611848401058</v>
      </c>
      <c r="D3432" s="5">
        <v>89690.773213273118</v>
      </c>
      <c r="E3432" s="6">
        <v>88.665398680891116</v>
      </c>
    </row>
    <row r="3433" spans="1:5" x14ac:dyDescent="0.3">
      <c r="A3433" s="4">
        <v>3430</v>
      </c>
      <c r="B3433" s="5">
        <v>82595.830207267456</v>
      </c>
      <c r="C3433" s="19">
        <v>2.5861176539338402</v>
      </c>
      <c r="D3433" s="5">
        <v>161177.45544954989</v>
      </c>
      <c r="E3433" s="6">
        <v>95.139942349496692</v>
      </c>
    </row>
    <row r="3434" spans="1:5" x14ac:dyDescent="0.3">
      <c r="A3434" s="4">
        <v>3431</v>
      </c>
      <c r="B3434" s="5">
        <v>79059.860287581207</v>
      </c>
      <c r="C3434" s="19">
        <v>-1.805646740121341</v>
      </c>
      <c r="D3434" s="5">
        <v>167881.01653978569</v>
      </c>
      <c r="E3434" s="6">
        <v>112.34671542438406</v>
      </c>
    </row>
    <row r="3435" spans="1:5" x14ac:dyDescent="0.3">
      <c r="A3435" s="4">
        <v>3432</v>
      </c>
      <c r="B3435" s="5">
        <v>61698.86120583053</v>
      </c>
      <c r="C3435" s="19">
        <v>-23.36844827527203</v>
      </c>
      <c r="D3435" s="5">
        <v>114365.83887663919</v>
      </c>
      <c r="E3435" s="6">
        <v>85.361344831161389</v>
      </c>
    </row>
    <row r="3436" spans="1:5" x14ac:dyDescent="0.3">
      <c r="A3436" s="4">
        <v>3433</v>
      </c>
      <c r="B3436" s="5">
        <v>61535.450478223807</v>
      </c>
      <c r="C3436" s="19">
        <v>-23.571408546827037</v>
      </c>
      <c r="D3436" s="5">
        <v>114007.8787395385</v>
      </c>
      <c r="E3436" s="6">
        <v>85.271868254029698</v>
      </c>
    </row>
    <row r="3437" spans="1:5" x14ac:dyDescent="0.3">
      <c r="A3437" s="4">
        <v>3434</v>
      </c>
      <c r="B3437" s="5">
        <v>30363.954341539069</v>
      </c>
      <c r="C3437" s="19">
        <v>-62.287197977147692</v>
      </c>
      <c r="D3437" s="5">
        <v>64025.12454389983</v>
      </c>
      <c r="E3437" s="6">
        <v>110.85898043362216</v>
      </c>
    </row>
    <row r="3438" spans="1:5" x14ac:dyDescent="0.3">
      <c r="A3438" s="4">
        <v>3435</v>
      </c>
      <c r="B3438" s="5">
        <v>68388.331524155976</v>
      </c>
      <c r="C3438" s="19">
        <v>-15.059956340556289</v>
      </c>
      <c r="D3438" s="5">
        <v>131389.29401034696</v>
      </c>
      <c r="E3438" s="6">
        <v>92.12238562061998</v>
      </c>
    </row>
    <row r="3439" spans="1:5" x14ac:dyDescent="0.3">
      <c r="A3439" s="4">
        <v>3436</v>
      </c>
      <c r="B3439" s="5">
        <v>53666.946658436769</v>
      </c>
      <c r="C3439" s="19">
        <v>-33.344290017858938</v>
      </c>
      <c r="D3439" s="5">
        <v>100640.05164924651</v>
      </c>
      <c r="E3439" s="6">
        <v>87.527068178053852</v>
      </c>
    </row>
    <row r="3440" spans="1:5" x14ac:dyDescent="0.3">
      <c r="A3440" s="4">
        <v>3437</v>
      </c>
      <c r="B3440" s="5">
        <v>49483.140753875043</v>
      </c>
      <c r="C3440" s="19">
        <v>-38.540683149201634</v>
      </c>
      <c r="D3440" s="5">
        <v>101497.65054828385</v>
      </c>
      <c r="E3440" s="6">
        <v>105.11561918255066</v>
      </c>
    </row>
    <row r="3441" spans="1:5" x14ac:dyDescent="0.3">
      <c r="A3441" s="4">
        <v>3438</v>
      </c>
      <c r="B3441" s="5">
        <v>71342.695587919137</v>
      </c>
      <c r="C3441" s="19">
        <v>-11.390561182505142</v>
      </c>
      <c r="D3441" s="5">
        <v>123323.38712389652</v>
      </c>
      <c r="E3441" s="6">
        <v>72.860565622894086</v>
      </c>
    </row>
    <row r="3442" spans="1:5" x14ac:dyDescent="0.3">
      <c r="A3442" s="4">
        <v>3439</v>
      </c>
      <c r="B3442" s="5">
        <v>102117.70078330964</v>
      </c>
      <c r="C3442" s="19">
        <v>26.832776434567073</v>
      </c>
      <c r="D3442" s="5">
        <v>169265.91082249174</v>
      </c>
      <c r="E3442" s="6">
        <v>65.755701043121178</v>
      </c>
    </row>
    <row r="3443" spans="1:5" x14ac:dyDescent="0.3">
      <c r="A3443" s="4">
        <v>3440</v>
      </c>
      <c r="B3443" s="5">
        <v>61512.189142107534</v>
      </c>
      <c r="C3443" s="19">
        <v>-23.600299716727786</v>
      </c>
      <c r="D3443" s="5">
        <v>120230.74404945364</v>
      </c>
      <c r="E3443" s="6">
        <v>95.458405441712571</v>
      </c>
    </row>
    <row r="3444" spans="1:5" x14ac:dyDescent="0.3">
      <c r="A3444" s="4">
        <v>3441</v>
      </c>
      <c r="B3444" s="5">
        <v>40736.551494384788</v>
      </c>
      <c r="C3444" s="19">
        <v>-49.404169024857268</v>
      </c>
      <c r="D3444" s="5">
        <v>75308.074738393887</v>
      </c>
      <c r="E3444" s="6">
        <v>84.866101758207265</v>
      </c>
    </row>
    <row r="3445" spans="1:5" x14ac:dyDescent="0.3">
      <c r="A3445" s="4">
        <v>3442</v>
      </c>
      <c r="B3445" s="5">
        <v>109582.57190454673</v>
      </c>
      <c r="C3445" s="19">
        <v>36.104335848559131</v>
      </c>
      <c r="D3445" s="5">
        <v>207139.74895737029</v>
      </c>
      <c r="E3445" s="6">
        <v>89.026179398127255</v>
      </c>
    </row>
    <row r="3446" spans="1:5" x14ac:dyDescent="0.3">
      <c r="A3446" s="4">
        <v>3443</v>
      </c>
      <c r="B3446" s="5">
        <v>37500.360618330807</v>
      </c>
      <c r="C3446" s="19">
        <v>-53.423600237405935</v>
      </c>
      <c r="D3446" s="5">
        <v>80006.693716868263</v>
      </c>
      <c r="E3446" s="6">
        <v>113.34913157544315</v>
      </c>
    </row>
    <row r="3447" spans="1:5" x14ac:dyDescent="0.3">
      <c r="A3447" s="4">
        <v>3444</v>
      </c>
      <c r="B3447" s="5">
        <v>61171.271326140391</v>
      </c>
      <c r="C3447" s="19">
        <v>-24.023728297702934</v>
      </c>
      <c r="D3447" s="5">
        <v>109274.7324585207</v>
      </c>
      <c r="E3447" s="6">
        <v>78.637340845692378</v>
      </c>
    </row>
    <row r="3448" spans="1:5" x14ac:dyDescent="0.3">
      <c r="A3448" s="4">
        <v>3445</v>
      </c>
      <c r="B3448" s="5">
        <v>54935.119233152829</v>
      </c>
      <c r="C3448" s="19">
        <v>-31.769187489936563</v>
      </c>
      <c r="D3448" s="5">
        <v>112850.65646518864</v>
      </c>
      <c r="E3448" s="6">
        <v>105.42534182229339</v>
      </c>
    </row>
    <row r="3449" spans="1:5" x14ac:dyDescent="0.3">
      <c r="A3449" s="4">
        <v>3446</v>
      </c>
      <c r="B3449" s="5">
        <v>40280.598121924697</v>
      </c>
      <c r="C3449" s="19">
        <v>-49.970474686953317</v>
      </c>
      <c r="D3449" s="5">
        <v>81304.084121345339</v>
      </c>
      <c r="E3449" s="6">
        <v>101.84428214111247</v>
      </c>
    </row>
    <row r="3450" spans="1:5" x14ac:dyDescent="0.3">
      <c r="A3450" s="4">
        <v>3447</v>
      </c>
      <c r="B3450" s="5">
        <v>71053.847898567663</v>
      </c>
      <c r="C3450" s="19">
        <v>-11.749317344523476</v>
      </c>
      <c r="D3450" s="5">
        <v>134830.40979976812</v>
      </c>
      <c r="E3450" s="6">
        <v>89.758069108719013</v>
      </c>
    </row>
    <row r="3451" spans="1:5" x14ac:dyDescent="0.3">
      <c r="A3451" s="4">
        <v>3448</v>
      </c>
      <c r="B3451" s="5">
        <v>56921.153444378477</v>
      </c>
      <c r="C3451" s="19">
        <v>-29.302482587930438</v>
      </c>
      <c r="D3451" s="5">
        <v>109480.22451833321</v>
      </c>
      <c r="E3451" s="6">
        <v>92.336623370279682</v>
      </c>
    </row>
    <row r="3452" spans="1:5" x14ac:dyDescent="0.3">
      <c r="A3452" s="4">
        <v>3449</v>
      </c>
      <c r="B3452" s="5">
        <v>64196.674214627383</v>
      </c>
      <c r="C3452" s="19">
        <v>-20.266101116160669</v>
      </c>
      <c r="D3452" s="5">
        <v>111643.38986126671</v>
      </c>
      <c r="E3452" s="6">
        <v>73.908370218699687</v>
      </c>
    </row>
    <row r="3453" spans="1:5" x14ac:dyDescent="0.3">
      <c r="A3453" s="4">
        <v>3450</v>
      </c>
      <c r="B3453" s="5">
        <v>55375.598426783152</v>
      </c>
      <c r="C3453" s="19">
        <v>-31.222101150729404</v>
      </c>
      <c r="D3453" s="5">
        <v>94275.424132679123</v>
      </c>
      <c r="E3453" s="6">
        <v>70.247233097315927</v>
      </c>
    </row>
    <row r="3454" spans="1:5" x14ac:dyDescent="0.3">
      <c r="A3454" s="4">
        <v>3451</v>
      </c>
      <c r="B3454" s="5">
        <v>99371.469688366938</v>
      </c>
      <c r="C3454" s="19">
        <v>23.421887706846586</v>
      </c>
      <c r="D3454" s="5">
        <v>170080.7846244995</v>
      </c>
      <c r="E3454" s="6">
        <v>71.156555455886803</v>
      </c>
    </row>
    <row r="3455" spans="1:5" x14ac:dyDescent="0.3">
      <c r="A3455" s="4">
        <v>3452</v>
      </c>
      <c r="B3455" s="5">
        <v>64146.317597923648</v>
      </c>
      <c r="C3455" s="19">
        <v>-20.328645312312705</v>
      </c>
      <c r="D3455" s="5">
        <v>124554.4724565122</v>
      </c>
      <c r="E3455" s="6">
        <v>94.172443751539532</v>
      </c>
    </row>
    <row r="3456" spans="1:5" x14ac:dyDescent="0.3">
      <c r="A3456" s="4">
        <v>3453</v>
      </c>
      <c r="B3456" s="5">
        <v>73144.749873567285</v>
      </c>
      <c r="C3456" s="19">
        <v>-9.1523640180433148</v>
      </c>
      <c r="D3456" s="5">
        <v>126526.77806617272</v>
      </c>
      <c r="E3456" s="6">
        <v>72.981353118135942</v>
      </c>
    </row>
    <row r="3457" spans="1:5" x14ac:dyDescent="0.3">
      <c r="A3457" s="4">
        <v>3454</v>
      </c>
      <c r="B3457" s="5">
        <v>44885.419220652875</v>
      </c>
      <c r="C3457" s="19">
        <v>-44.251169997793824</v>
      </c>
      <c r="D3457" s="5">
        <v>89793.299213083417</v>
      </c>
      <c r="E3457" s="6">
        <v>100.05004024061188</v>
      </c>
    </row>
    <row r="3458" spans="1:5" x14ac:dyDescent="0.3">
      <c r="A3458" s="4">
        <v>3455</v>
      </c>
      <c r="B3458" s="5">
        <v>48357.516102051894</v>
      </c>
      <c r="C3458" s="19">
        <v>-39.938737538585777</v>
      </c>
      <c r="D3458" s="5">
        <v>103397.06426987017</v>
      </c>
      <c r="E3458" s="6">
        <v>113.81798033560051</v>
      </c>
    </row>
    <row r="3459" spans="1:5" x14ac:dyDescent="0.3">
      <c r="A3459" s="4">
        <v>3456</v>
      </c>
      <c r="B3459" s="5">
        <v>55195.750684476945</v>
      </c>
      <c r="C3459" s="19">
        <v>-31.445476611763212</v>
      </c>
      <c r="D3459" s="5">
        <v>104868.57853028843</v>
      </c>
      <c r="E3459" s="6">
        <v>89.993934731974392</v>
      </c>
    </row>
    <row r="3460" spans="1:5" x14ac:dyDescent="0.3">
      <c r="A3460" s="4">
        <v>3457</v>
      </c>
      <c r="B3460" s="5">
        <v>58047.730535474366</v>
      </c>
      <c r="C3460" s="19">
        <v>-27.903245244793712</v>
      </c>
      <c r="D3460" s="5">
        <v>132823.64058008732</v>
      </c>
      <c r="E3460" s="6">
        <v>128.81797333819208</v>
      </c>
    </row>
    <row r="3461" spans="1:5" x14ac:dyDescent="0.3">
      <c r="A3461" s="4">
        <v>3458</v>
      </c>
      <c r="B3461" s="5">
        <v>48227.088733952289</v>
      </c>
      <c r="C3461" s="19">
        <v>-40.100731640413713</v>
      </c>
      <c r="D3461" s="5">
        <v>92173.728010434759</v>
      </c>
      <c r="E3461" s="6">
        <v>91.124387621481389</v>
      </c>
    </row>
    <row r="3462" spans="1:5" x14ac:dyDescent="0.3">
      <c r="A3462" s="4">
        <v>3459</v>
      </c>
      <c r="B3462" s="5">
        <v>65861.114164659361</v>
      </c>
      <c r="C3462" s="19">
        <v>-18.198824449609717</v>
      </c>
      <c r="D3462" s="5">
        <v>121183.4460844026</v>
      </c>
      <c r="E3462" s="6">
        <v>83.99847561253199</v>
      </c>
    </row>
    <row r="3463" spans="1:5" x14ac:dyDescent="0.3">
      <c r="A3463" s="4">
        <v>3460</v>
      </c>
      <c r="B3463" s="5">
        <v>89857.684861559334</v>
      </c>
      <c r="C3463" s="19">
        <v>11.605525462796876</v>
      </c>
      <c r="D3463" s="5">
        <v>159779.08964719827</v>
      </c>
      <c r="E3463" s="6">
        <v>77.813494631387897</v>
      </c>
    </row>
    <row r="3464" spans="1:5" x14ac:dyDescent="0.3">
      <c r="A3464" s="4">
        <v>3461</v>
      </c>
      <c r="B3464" s="5">
        <v>60212.019291306569</v>
      </c>
      <c r="C3464" s="19">
        <v>-25.215143673737007</v>
      </c>
      <c r="D3464" s="5">
        <v>127733.5444376199</v>
      </c>
      <c r="E3464" s="6">
        <v>112.13961255749167</v>
      </c>
    </row>
    <row r="3465" spans="1:5" x14ac:dyDescent="0.3">
      <c r="A3465" s="4">
        <v>3462</v>
      </c>
      <c r="B3465" s="5">
        <v>48533.478199960795</v>
      </c>
      <c r="C3465" s="19">
        <v>-39.720188146523036</v>
      </c>
      <c r="D3465" s="5">
        <v>77966.654472561204</v>
      </c>
      <c r="E3465" s="6">
        <v>60.645099762547382</v>
      </c>
    </row>
    <row r="3466" spans="1:5" x14ac:dyDescent="0.3">
      <c r="A3466" s="4">
        <v>3463</v>
      </c>
      <c r="B3466" s="5">
        <v>67337.570125956161</v>
      </c>
      <c r="C3466" s="19">
        <v>-16.365028668680349</v>
      </c>
      <c r="D3466" s="5">
        <v>116550.55262880426</v>
      </c>
      <c r="E3466" s="6">
        <v>73.083989236312377</v>
      </c>
    </row>
    <row r="3467" spans="1:5" x14ac:dyDescent="0.3">
      <c r="A3467" s="4">
        <v>3464</v>
      </c>
      <c r="B3467" s="5">
        <v>45622.783558652525</v>
      </c>
      <c r="C3467" s="19">
        <v>-43.3353447734208</v>
      </c>
      <c r="D3467" s="5">
        <v>103638.03668723207</v>
      </c>
      <c r="E3467" s="6">
        <v>127.16289670049461</v>
      </c>
    </row>
    <row r="3468" spans="1:5" x14ac:dyDescent="0.3">
      <c r="A3468" s="4">
        <v>3465</v>
      </c>
      <c r="B3468" s="5">
        <v>58211.025103959764</v>
      </c>
      <c r="C3468" s="19">
        <v>-27.700429245815865</v>
      </c>
      <c r="D3468" s="5">
        <v>114623.55630636428</v>
      </c>
      <c r="E3468" s="6">
        <v>96.910389572519463</v>
      </c>
    </row>
    <row r="3469" spans="1:5" x14ac:dyDescent="0.3">
      <c r="A3469" s="4">
        <v>3466</v>
      </c>
      <c r="B3469" s="5">
        <v>91850.383792594585</v>
      </c>
      <c r="C3469" s="19">
        <v>14.080508115977638</v>
      </c>
      <c r="D3469" s="5">
        <v>176636.02292876138</v>
      </c>
      <c r="E3469" s="6">
        <v>92.308421190290787</v>
      </c>
    </row>
    <row r="3470" spans="1:5" x14ac:dyDescent="0.3">
      <c r="A3470" s="4">
        <v>3467</v>
      </c>
      <c r="B3470" s="5">
        <v>49529.944360099362</v>
      </c>
      <c r="C3470" s="19">
        <v>-38.482551882251379</v>
      </c>
      <c r="D3470" s="5">
        <v>101668.08173526826</v>
      </c>
      <c r="E3470" s="6">
        <v>105.26589126793098</v>
      </c>
    </row>
    <row r="3471" spans="1:5" x14ac:dyDescent="0.3">
      <c r="A3471" s="4">
        <v>3468</v>
      </c>
      <c r="B3471" s="5">
        <v>32468.340651690469</v>
      </c>
      <c r="C3471" s="19">
        <v>-59.673496764135066</v>
      </c>
      <c r="D3471" s="5">
        <v>75152.798701354463</v>
      </c>
      <c r="E3471" s="6">
        <v>131.4648583602366</v>
      </c>
    </row>
    <row r="3472" spans="1:5" x14ac:dyDescent="0.3">
      <c r="A3472" s="4">
        <v>3469</v>
      </c>
      <c r="B3472" s="5">
        <v>45570.152035362895</v>
      </c>
      <c r="C3472" s="19">
        <v>-43.400714461296644</v>
      </c>
      <c r="D3472" s="5">
        <v>96233.282337783734</v>
      </c>
      <c r="E3472" s="6">
        <v>111.17612744215938</v>
      </c>
    </row>
    <row r="3473" spans="1:5" x14ac:dyDescent="0.3">
      <c r="A3473" s="4">
        <v>3470</v>
      </c>
      <c r="B3473" s="5">
        <v>74784.662783972744</v>
      </c>
      <c r="C3473" s="19">
        <v>-7.1155505572802911</v>
      </c>
      <c r="D3473" s="5">
        <v>129322.27462886031</v>
      </c>
      <c r="E3473" s="6">
        <v>72.926198788149961</v>
      </c>
    </row>
    <row r="3474" spans="1:5" x14ac:dyDescent="0.3">
      <c r="A3474" s="4">
        <v>3471</v>
      </c>
      <c r="B3474" s="5">
        <v>64669.801284864436</v>
      </c>
      <c r="C3474" s="19">
        <v>-19.678465285504309</v>
      </c>
      <c r="D3474" s="5">
        <v>109583.58606365214</v>
      </c>
      <c r="E3474" s="6">
        <v>69.450939830395768</v>
      </c>
    </row>
    <row r="3475" spans="1:5" x14ac:dyDescent="0.3">
      <c r="A3475" s="4">
        <v>3472</v>
      </c>
      <c r="B3475" s="5">
        <v>34383.592190105213</v>
      </c>
      <c r="C3475" s="19">
        <v>-57.294705738442289</v>
      </c>
      <c r="D3475" s="5">
        <v>66227.008673399454</v>
      </c>
      <c r="E3475" s="6">
        <v>92.612244547438607</v>
      </c>
    </row>
    <row r="3476" spans="1:5" x14ac:dyDescent="0.3">
      <c r="A3476" s="4">
        <v>3473</v>
      </c>
      <c r="B3476" s="5">
        <v>51021.672144921897</v>
      </c>
      <c r="C3476" s="19">
        <v>-36.629788108857142</v>
      </c>
      <c r="D3476" s="5">
        <v>98173.641932648694</v>
      </c>
      <c r="E3476" s="6">
        <v>92.415571276841717</v>
      </c>
    </row>
    <row r="3477" spans="1:5" x14ac:dyDescent="0.3">
      <c r="A3477" s="4">
        <v>3474</v>
      </c>
      <c r="B3477" s="5">
        <v>35045.674527450639</v>
      </c>
      <c r="C3477" s="19">
        <v>-56.472382669770795</v>
      </c>
      <c r="D3477" s="5">
        <v>60194.916420124537</v>
      </c>
      <c r="E3477" s="6">
        <v>71.761329270392423</v>
      </c>
    </row>
    <row r="3478" spans="1:5" x14ac:dyDescent="0.3">
      <c r="A3478" s="4">
        <v>3475</v>
      </c>
      <c r="B3478" s="5">
        <v>54577.09893393032</v>
      </c>
      <c r="C3478" s="19">
        <v>-32.213857789228562</v>
      </c>
      <c r="D3478" s="5">
        <v>101549.6292657384</v>
      </c>
      <c r="E3478" s="6">
        <v>86.066374448872523</v>
      </c>
    </row>
    <row r="3479" spans="1:5" x14ac:dyDescent="0.3">
      <c r="A3479" s="4">
        <v>3476</v>
      </c>
      <c r="B3479" s="5">
        <v>63878.077893688685</v>
      </c>
      <c r="C3479" s="19">
        <v>-20.661805833722209</v>
      </c>
      <c r="D3479" s="5">
        <v>111837.20524444801</v>
      </c>
      <c r="E3479" s="6">
        <v>75.079164765378465</v>
      </c>
    </row>
    <row r="3480" spans="1:5" x14ac:dyDescent="0.3">
      <c r="A3480" s="4">
        <v>3477</v>
      </c>
      <c r="B3480" s="5">
        <v>40558.904580882481</v>
      </c>
      <c r="C3480" s="19">
        <v>-49.624811000652826</v>
      </c>
      <c r="D3480" s="5">
        <v>84829.855727745307</v>
      </c>
      <c r="E3480" s="6">
        <v>109.15223575276246</v>
      </c>
    </row>
    <row r="3481" spans="1:5" x14ac:dyDescent="0.3">
      <c r="A3481" s="4">
        <v>3478</v>
      </c>
      <c r="B3481" s="5">
        <v>66858.731956772783</v>
      </c>
      <c r="C3481" s="19">
        <v>-16.959757829193322</v>
      </c>
      <c r="D3481" s="5">
        <v>143759.5374258532</v>
      </c>
      <c r="E3481" s="6">
        <v>115.01983842409737</v>
      </c>
    </row>
    <row r="3482" spans="1:5" x14ac:dyDescent="0.3">
      <c r="A3482" s="4">
        <v>3479</v>
      </c>
      <c r="B3482" s="5">
        <v>123293.2380725823</v>
      </c>
      <c r="C3482" s="19">
        <v>53.133331248185854</v>
      </c>
      <c r="D3482" s="5">
        <v>212282.2388952717</v>
      </c>
      <c r="E3482" s="6">
        <v>72.176708320615177</v>
      </c>
    </row>
    <row r="3483" spans="1:5" x14ac:dyDescent="0.3">
      <c r="A3483" s="4">
        <v>3480</v>
      </c>
      <c r="B3483" s="5">
        <v>41633.235537029454</v>
      </c>
      <c r="C3483" s="19">
        <v>-48.290464683290438</v>
      </c>
      <c r="D3483" s="5">
        <v>72458.699730021312</v>
      </c>
      <c r="E3483" s="6">
        <v>74.04052026073029</v>
      </c>
    </row>
    <row r="3484" spans="1:5" x14ac:dyDescent="0.3">
      <c r="A3484" s="4">
        <v>3481</v>
      </c>
      <c r="B3484" s="5">
        <v>58580.933597957075</v>
      </c>
      <c r="C3484" s="19">
        <v>-27.240993506854572</v>
      </c>
      <c r="D3484" s="5">
        <v>105841.05031896659</v>
      </c>
      <c r="E3484" s="6">
        <v>80.674912157182902</v>
      </c>
    </row>
    <row r="3485" spans="1:5" x14ac:dyDescent="0.3">
      <c r="A3485" s="4">
        <v>3482</v>
      </c>
      <c r="B3485" s="5">
        <v>74694.03452840705</v>
      </c>
      <c r="C3485" s="19">
        <v>-7.2281131511170811</v>
      </c>
      <c r="D3485" s="5">
        <v>134540.44829752159</v>
      </c>
      <c r="E3485" s="6">
        <v>80.122079556907892</v>
      </c>
    </row>
    <row r="3486" spans="1:5" x14ac:dyDescent="0.3">
      <c r="A3486" s="4">
        <v>3483</v>
      </c>
      <c r="B3486" s="5">
        <v>41761.883167815409</v>
      </c>
      <c r="C3486" s="19">
        <v>-48.130681060381271</v>
      </c>
      <c r="D3486" s="5">
        <v>84538.220032944519</v>
      </c>
      <c r="E3486" s="6">
        <v>102.42913781746199</v>
      </c>
    </row>
    <row r="3487" spans="1:5" x14ac:dyDescent="0.3">
      <c r="A3487" s="4">
        <v>3484</v>
      </c>
      <c r="B3487" s="5">
        <v>102647.72619181033</v>
      </c>
      <c r="C3487" s="19">
        <v>27.4910814456019</v>
      </c>
      <c r="D3487" s="5">
        <v>191679.45057909086</v>
      </c>
      <c r="E3487" s="6">
        <v>86.735213423932478</v>
      </c>
    </row>
    <row r="3488" spans="1:5" x14ac:dyDescent="0.3">
      <c r="A3488" s="4">
        <v>3485</v>
      </c>
      <c r="B3488" s="5">
        <v>75948.305561028596</v>
      </c>
      <c r="C3488" s="19">
        <v>-5.6702766913400415</v>
      </c>
      <c r="D3488" s="5">
        <v>145392.09900032973</v>
      </c>
      <c r="E3488" s="6">
        <v>91.43560600374326</v>
      </c>
    </row>
    <row r="3489" spans="1:5" x14ac:dyDescent="0.3">
      <c r="A3489" s="4">
        <v>3486</v>
      </c>
      <c r="B3489" s="5">
        <v>71384.256375844954</v>
      </c>
      <c r="C3489" s="19">
        <v>-11.338941628960502</v>
      </c>
      <c r="D3489" s="5">
        <v>110764.12607815703</v>
      </c>
      <c r="E3489" s="6">
        <v>55.166043188813632</v>
      </c>
    </row>
    <row r="3490" spans="1:5" x14ac:dyDescent="0.3">
      <c r="A3490" s="4">
        <v>3487</v>
      </c>
      <c r="B3490" s="5">
        <v>98258.107878741517</v>
      </c>
      <c r="C3490" s="19">
        <v>22.039064078740715</v>
      </c>
      <c r="D3490" s="5">
        <v>179632.9901933416</v>
      </c>
      <c r="E3490" s="6">
        <v>82.817473358049284</v>
      </c>
    </row>
    <row r="3491" spans="1:5" x14ac:dyDescent="0.3">
      <c r="A3491" s="4">
        <v>3488</v>
      </c>
      <c r="B3491" s="5">
        <v>36659.909109158012</v>
      </c>
      <c r="C3491" s="19">
        <v>-54.467462345045845</v>
      </c>
      <c r="D3491" s="5">
        <v>71230.183821575381</v>
      </c>
      <c r="E3491" s="6">
        <v>94.299946596925338</v>
      </c>
    </row>
    <row r="3492" spans="1:5" x14ac:dyDescent="0.3">
      <c r="A3492" s="4">
        <v>3489</v>
      </c>
      <c r="B3492" s="5">
        <v>64182.005280570796</v>
      </c>
      <c r="C3492" s="19">
        <v>-20.284320304601668</v>
      </c>
      <c r="D3492" s="5">
        <v>121810.11846928162</v>
      </c>
      <c r="E3492" s="6">
        <v>89.788583165624502</v>
      </c>
    </row>
    <row r="3493" spans="1:5" x14ac:dyDescent="0.3">
      <c r="A3493" s="4">
        <v>3490</v>
      </c>
      <c r="B3493" s="5">
        <v>56513.173642586189</v>
      </c>
      <c r="C3493" s="19">
        <v>-29.809203857540123</v>
      </c>
      <c r="D3493" s="5">
        <v>118159.40471136273</v>
      </c>
      <c r="E3493" s="6">
        <v>109.08293959679921</v>
      </c>
    </row>
    <row r="3494" spans="1:5" x14ac:dyDescent="0.3">
      <c r="A3494" s="4">
        <v>3491</v>
      </c>
      <c r="B3494" s="5">
        <v>46486.951403556399</v>
      </c>
      <c r="C3494" s="19">
        <v>-42.262026374809253</v>
      </c>
      <c r="D3494" s="5">
        <v>90216.394001960085</v>
      </c>
      <c r="E3494" s="6">
        <v>94.068208987905905</v>
      </c>
    </row>
    <row r="3495" spans="1:5" x14ac:dyDescent="0.3">
      <c r="A3495" s="4">
        <v>3492</v>
      </c>
      <c r="B3495" s="5">
        <v>68462.205818983188</v>
      </c>
      <c r="C3495" s="19">
        <v>-14.968202591223806</v>
      </c>
      <c r="D3495" s="5">
        <v>136696.4692080387</v>
      </c>
      <c r="E3495" s="6">
        <v>99.667053628785553</v>
      </c>
    </row>
    <row r="3496" spans="1:5" x14ac:dyDescent="0.3">
      <c r="A3496" s="4">
        <v>3493</v>
      </c>
      <c r="B3496" s="5">
        <v>49163.158440364125</v>
      </c>
      <c r="C3496" s="19">
        <v>-38.93810930471863</v>
      </c>
      <c r="D3496" s="5">
        <v>111908.49451419694</v>
      </c>
      <c r="E3496" s="6">
        <v>127.62673933967066</v>
      </c>
    </row>
    <row r="3497" spans="1:5" x14ac:dyDescent="0.3">
      <c r="A3497" s="4">
        <v>3494</v>
      </c>
      <c r="B3497" s="5">
        <v>96792.958539042927</v>
      </c>
      <c r="C3497" s="19">
        <v>20.219311408833196</v>
      </c>
      <c r="D3497" s="5">
        <v>188430.6465825006</v>
      </c>
      <c r="E3497" s="6">
        <v>94.673919907607953</v>
      </c>
    </row>
    <row r="3498" spans="1:5" x14ac:dyDescent="0.3">
      <c r="A3498" s="4">
        <v>3495</v>
      </c>
      <c r="B3498" s="5">
        <v>59369.050405073744</v>
      </c>
      <c r="C3498" s="19">
        <v>-26.262132427584255</v>
      </c>
      <c r="D3498" s="5">
        <v>100648.67896751119</v>
      </c>
      <c r="E3498" s="6">
        <v>69.53055216613275</v>
      </c>
    </row>
    <row r="3499" spans="1:5" x14ac:dyDescent="0.3">
      <c r="A3499" s="4">
        <v>3496</v>
      </c>
      <c r="B3499" s="5">
        <v>57206.531893008432</v>
      </c>
      <c r="C3499" s="19">
        <v>-28.948035310948246</v>
      </c>
      <c r="D3499" s="5">
        <v>99528.480507134387</v>
      </c>
      <c r="E3499" s="6">
        <v>73.980972475799362</v>
      </c>
    </row>
    <row r="3500" spans="1:5" x14ac:dyDescent="0.3">
      <c r="A3500" s="4">
        <v>3497</v>
      </c>
      <c r="B3500" s="5">
        <v>63949.183186729984</v>
      </c>
      <c r="C3500" s="19">
        <v>-20.573491254893625</v>
      </c>
      <c r="D3500" s="5">
        <v>121687.60938924948</v>
      </c>
      <c r="E3500" s="6">
        <v>90.287980745469056</v>
      </c>
    </row>
    <row r="3501" spans="1:5" x14ac:dyDescent="0.3">
      <c r="A3501" s="4">
        <v>3498</v>
      </c>
      <c r="B3501" s="5">
        <v>68182.251004257196</v>
      </c>
      <c r="C3501" s="19">
        <v>-15.315913577228752</v>
      </c>
      <c r="D3501" s="5">
        <v>122113.49115144635</v>
      </c>
      <c r="E3501" s="6">
        <v>79.0986500927078</v>
      </c>
    </row>
    <row r="3502" spans="1:5" x14ac:dyDescent="0.3">
      <c r="A3502" s="4">
        <v>3499</v>
      </c>
      <c r="B3502" s="5">
        <v>56248.220879912435</v>
      </c>
      <c r="C3502" s="19">
        <v>-30.138281914097909</v>
      </c>
      <c r="D3502" s="5">
        <v>104706.40266031653</v>
      </c>
      <c r="E3502" s="6">
        <v>86.150603561062411</v>
      </c>
    </row>
    <row r="3503" spans="1:5" x14ac:dyDescent="0.3">
      <c r="A3503" s="4">
        <v>3500</v>
      </c>
      <c r="B3503" s="5">
        <v>62350.382997340123</v>
      </c>
      <c r="C3503" s="19">
        <v>-22.559241672587817</v>
      </c>
      <c r="D3503" s="5">
        <v>122021.54145714032</v>
      </c>
      <c r="E3503" s="6">
        <v>95.702954162039049</v>
      </c>
    </row>
    <row r="3504" spans="1:5" x14ac:dyDescent="0.3">
      <c r="A3504" s="4">
        <v>3501</v>
      </c>
      <c r="B3504" s="5">
        <v>90211.986587118387</v>
      </c>
      <c r="C3504" s="19">
        <v>12.045577199210015</v>
      </c>
      <c r="D3504" s="5">
        <v>173617.42572510679</v>
      </c>
      <c r="E3504" s="6">
        <v>92.454941181727719</v>
      </c>
    </row>
    <row r="3505" spans="1:5" x14ac:dyDescent="0.3">
      <c r="A3505" s="4">
        <v>3502</v>
      </c>
      <c r="B3505" s="5">
        <v>35309.887404447036</v>
      </c>
      <c r="C3505" s="19">
        <v>-56.144223570004868</v>
      </c>
      <c r="D3505" s="5">
        <v>71960.400692338415</v>
      </c>
      <c r="E3505" s="6">
        <v>103.79674358088013</v>
      </c>
    </row>
    <row r="3506" spans="1:5" x14ac:dyDescent="0.3">
      <c r="A3506" s="4">
        <v>3503</v>
      </c>
      <c r="B3506" s="5">
        <v>96322.734965255309</v>
      </c>
      <c r="C3506" s="19">
        <v>19.635281794466714</v>
      </c>
      <c r="D3506" s="5">
        <v>171916.26979481452</v>
      </c>
      <c r="E3506" s="6">
        <v>78.479431524475146</v>
      </c>
    </row>
    <row r="3507" spans="1:5" x14ac:dyDescent="0.3">
      <c r="A3507" s="4">
        <v>3504</v>
      </c>
      <c r="B3507" s="5">
        <v>84032.912317297276</v>
      </c>
      <c r="C3507" s="19">
        <v>4.3710101121600298</v>
      </c>
      <c r="D3507" s="5">
        <v>151934.26474209235</v>
      </c>
      <c r="E3507" s="6">
        <v>80.803283561574602</v>
      </c>
    </row>
    <row r="3508" spans="1:5" x14ac:dyDescent="0.3">
      <c r="A3508" s="4">
        <v>3505</v>
      </c>
      <c r="B3508" s="5">
        <v>64678.105618501024</v>
      </c>
      <c r="C3508" s="19">
        <v>-19.668151092338107</v>
      </c>
      <c r="D3508" s="5">
        <v>125903.93397042414</v>
      </c>
      <c r="E3508" s="6">
        <v>94.66237108591136</v>
      </c>
    </row>
    <row r="3509" spans="1:5" x14ac:dyDescent="0.3">
      <c r="A3509" s="4">
        <v>3506</v>
      </c>
      <c r="B3509" s="5">
        <v>185385.69807088879</v>
      </c>
      <c r="C3509" s="19">
        <v>130.25374266391833</v>
      </c>
      <c r="D3509" s="5">
        <v>287791.92188000545</v>
      </c>
      <c r="E3509" s="6">
        <v>55.239549153332213</v>
      </c>
    </row>
    <row r="3510" spans="1:5" x14ac:dyDescent="0.3">
      <c r="A3510" s="4">
        <v>3507</v>
      </c>
      <c r="B3510" s="5">
        <v>104472.34256851516</v>
      </c>
      <c r="C3510" s="19">
        <v>29.75730129985147</v>
      </c>
      <c r="D3510" s="5">
        <v>189465.67993615789</v>
      </c>
      <c r="E3510" s="6">
        <v>81.354868932801338</v>
      </c>
    </row>
    <row r="3511" spans="1:5" x14ac:dyDescent="0.3">
      <c r="A3511" s="4">
        <v>3508</v>
      </c>
      <c r="B3511" s="5">
        <v>99137.568083705628</v>
      </c>
      <c r="C3511" s="19">
        <v>23.131375976714256</v>
      </c>
      <c r="D3511" s="5">
        <v>177599.13979163492</v>
      </c>
      <c r="E3511" s="6">
        <v>79.144135996639747</v>
      </c>
    </row>
    <row r="3512" spans="1:5" x14ac:dyDescent="0.3">
      <c r="A3512" s="4">
        <v>3509</v>
      </c>
      <c r="B3512" s="5">
        <v>67204.812890702509</v>
      </c>
      <c r="C3512" s="19">
        <v>-16.529916524652815</v>
      </c>
      <c r="D3512" s="5">
        <v>117948.83592944324</v>
      </c>
      <c r="E3512" s="6">
        <v>75.506531237974698</v>
      </c>
    </row>
    <row r="3513" spans="1:5" x14ac:dyDescent="0.3">
      <c r="A3513" s="4">
        <v>3510</v>
      </c>
      <c r="B3513" s="5">
        <v>104548.53952894252</v>
      </c>
      <c r="C3513" s="19">
        <v>29.85193985881574</v>
      </c>
      <c r="D3513" s="5">
        <v>188163.52042858073</v>
      </c>
      <c r="E3513" s="6">
        <v>79.977186937643253</v>
      </c>
    </row>
    <row r="3514" spans="1:5" x14ac:dyDescent="0.3">
      <c r="A3514" s="4">
        <v>3511</v>
      </c>
      <c r="B3514" s="5">
        <v>44621.3165145569</v>
      </c>
      <c r="C3514" s="19">
        <v>-44.579192262504961</v>
      </c>
      <c r="D3514" s="5">
        <v>82409.626580395867</v>
      </c>
      <c r="E3514" s="6">
        <v>84.686676722124972</v>
      </c>
    </row>
    <row r="3515" spans="1:5" x14ac:dyDescent="0.3">
      <c r="A3515" s="4">
        <v>3512</v>
      </c>
      <c r="B3515" s="5">
        <v>59031.394104607803</v>
      </c>
      <c r="C3515" s="19">
        <v>-26.681510123519601</v>
      </c>
      <c r="D3515" s="5">
        <v>121387.26039850332</v>
      </c>
      <c r="E3515" s="6">
        <v>105.63170197775867</v>
      </c>
    </row>
    <row r="3516" spans="1:5" x14ac:dyDescent="0.3">
      <c r="A3516" s="4">
        <v>3513</v>
      </c>
      <c r="B3516" s="5">
        <v>61926.764688837196</v>
      </c>
      <c r="C3516" s="19">
        <v>-23.085386364485569</v>
      </c>
      <c r="D3516" s="5">
        <v>112229.91975454884</v>
      </c>
      <c r="E3516" s="6">
        <v>81.230071227633829</v>
      </c>
    </row>
    <row r="3517" spans="1:5" x14ac:dyDescent="0.3">
      <c r="A3517" s="4">
        <v>3514</v>
      </c>
      <c r="B3517" s="5">
        <v>67901.254683767023</v>
      </c>
      <c r="C3517" s="19">
        <v>-15.664918139829428</v>
      </c>
      <c r="D3517" s="5">
        <v>122089.62111418032</v>
      </c>
      <c r="E3517" s="6">
        <v>79.804661464330749</v>
      </c>
    </row>
    <row r="3518" spans="1:5" x14ac:dyDescent="0.3">
      <c r="A3518" s="4">
        <v>3515</v>
      </c>
      <c r="B3518" s="5">
        <v>66405.235616121805</v>
      </c>
      <c r="C3518" s="19">
        <v>-17.523011795415414</v>
      </c>
      <c r="D3518" s="5">
        <v>140815.68339833099</v>
      </c>
      <c r="E3518" s="6">
        <v>112.05509187914677</v>
      </c>
    </row>
    <row r="3519" spans="1:5" x14ac:dyDescent="0.3">
      <c r="A3519" s="4">
        <v>3516</v>
      </c>
      <c r="B3519" s="5">
        <v>40239.496508810698</v>
      </c>
      <c r="C3519" s="19">
        <v>-50.021523933726407</v>
      </c>
      <c r="D3519" s="5">
        <v>73146.600563857195</v>
      </c>
      <c r="E3519" s="6">
        <v>81.77812077703625</v>
      </c>
    </row>
    <row r="3520" spans="1:5" x14ac:dyDescent="0.3">
      <c r="A3520" s="4">
        <v>3517</v>
      </c>
      <c r="B3520" s="5">
        <v>55494.504643420078</v>
      </c>
      <c r="C3520" s="19">
        <v>-31.074416611460414</v>
      </c>
      <c r="D3520" s="5">
        <v>97715.680185317717</v>
      </c>
      <c r="E3520" s="6">
        <v>76.081723430436568</v>
      </c>
    </row>
    <row r="3521" spans="1:5" x14ac:dyDescent="0.3">
      <c r="A3521" s="4">
        <v>3518</v>
      </c>
      <c r="B3521" s="5">
        <v>85549.048186809145</v>
      </c>
      <c r="C3521" s="19">
        <v>6.2540893462907698</v>
      </c>
      <c r="D3521" s="5">
        <v>154182.23672257664</v>
      </c>
      <c r="E3521" s="6">
        <v>80.226712032957579</v>
      </c>
    </row>
    <row r="3522" spans="1:5" x14ac:dyDescent="0.3">
      <c r="A3522" s="4">
        <v>3519</v>
      </c>
      <c r="B3522" s="5">
        <v>84485.200694278159</v>
      </c>
      <c r="C3522" s="19">
        <v>4.9327637568420242</v>
      </c>
      <c r="D3522" s="5">
        <v>160529.31000517803</v>
      </c>
      <c r="E3522" s="6">
        <v>90.008792884420558</v>
      </c>
    </row>
    <row r="3523" spans="1:5" x14ac:dyDescent="0.3">
      <c r="A3523" s="4">
        <v>3520</v>
      </c>
      <c r="B3523" s="5">
        <v>95732.746505633957</v>
      </c>
      <c r="C3523" s="19">
        <v>18.902501151893141</v>
      </c>
      <c r="D3523" s="5">
        <v>195270.12877854149</v>
      </c>
      <c r="E3523" s="6">
        <v>103.97422606803583</v>
      </c>
    </row>
    <row r="3524" spans="1:5" x14ac:dyDescent="0.3">
      <c r="A3524" s="4">
        <v>3521</v>
      </c>
      <c r="B3524" s="5">
        <v>123698.5057384449</v>
      </c>
      <c r="C3524" s="19">
        <v>53.636683976128509</v>
      </c>
      <c r="D3524" s="5">
        <v>206655.4013368797</v>
      </c>
      <c r="E3524" s="6">
        <v>67.06378149291757</v>
      </c>
    </row>
    <row r="3525" spans="1:5" x14ac:dyDescent="0.3">
      <c r="A3525" s="4">
        <v>3522</v>
      </c>
      <c r="B3525" s="5">
        <v>63615.139183625266</v>
      </c>
      <c r="C3525" s="19">
        <v>-20.988382385815104</v>
      </c>
      <c r="D3525" s="5">
        <v>125439.36824388149</v>
      </c>
      <c r="E3525" s="6">
        <v>97.184773708975811</v>
      </c>
    </row>
    <row r="3526" spans="1:5" x14ac:dyDescent="0.3">
      <c r="A3526" s="4">
        <v>3523</v>
      </c>
      <c r="B3526" s="5">
        <v>65118.761709516271</v>
      </c>
      <c r="C3526" s="19">
        <v>-19.120845042088668</v>
      </c>
      <c r="D3526" s="5">
        <v>146616.93006281179</v>
      </c>
      <c r="E3526" s="6">
        <v>125.15312977977837</v>
      </c>
    </row>
    <row r="3527" spans="1:5" x14ac:dyDescent="0.3">
      <c r="A3527" s="4">
        <v>3524</v>
      </c>
      <c r="B3527" s="5">
        <v>80029.618011163475</v>
      </c>
      <c r="C3527" s="19">
        <v>-0.60118303199496836</v>
      </c>
      <c r="D3527" s="5">
        <v>158976.72412709348</v>
      </c>
      <c r="E3527" s="6">
        <v>98.647360911953285</v>
      </c>
    </row>
    <row r="3528" spans="1:5" x14ac:dyDescent="0.3">
      <c r="A3528" s="4">
        <v>3525</v>
      </c>
      <c r="B3528" s="5">
        <v>33363.005780722</v>
      </c>
      <c r="C3528" s="19">
        <v>-58.562299964521991</v>
      </c>
      <c r="D3528" s="5">
        <v>69212.478821625831</v>
      </c>
      <c r="E3528" s="6">
        <v>107.45276752497695</v>
      </c>
    </row>
    <row r="3529" spans="1:5" x14ac:dyDescent="0.3">
      <c r="A3529" s="4">
        <v>3526</v>
      </c>
      <c r="B3529" s="5">
        <v>40295.293219253173</v>
      </c>
      <c r="C3529" s="19">
        <v>-49.952223003064525</v>
      </c>
      <c r="D3529" s="5">
        <v>79105.276354715796</v>
      </c>
      <c r="E3529" s="6">
        <v>96.313936529239925</v>
      </c>
    </row>
    <row r="3530" spans="1:5" x14ac:dyDescent="0.3">
      <c r="A3530" s="4">
        <v>3527</v>
      </c>
      <c r="B3530" s="5">
        <v>95298.5119656467</v>
      </c>
      <c r="C3530" s="19">
        <v>18.363170831019204</v>
      </c>
      <c r="D3530" s="5">
        <v>172723.04311708405</v>
      </c>
      <c r="E3530" s="6">
        <v>81.244218356050951</v>
      </c>
    </row>
    <row r="3531" spans="1:5" x14ac:dyDescent="0.3">
      <c r="A3531" s="4">
        <v>3528</v>
      </c>
      <c r="B3531" s="5">
        <v>63928.628080848568</v>
      </c>
      <c r="C3531" s="19">
        <v>-20.599021218150227</v>
      </c>
      <c r="D3531" s="5">
        <v>117506.73502462704</v>
      </c>
      <c r="E3531" s="6">
        <v>83.809255027371904</v>
      </c>
    </row>
    <row r="3532" spans="1:5" x14ac:dyDescent="0.3">
      <c r="A3532" s="4">
        <v>3529</v>
      </c>
      <c r="B3532" s="5">
        <v>92847.203526871002</v>
      </c>
      <c r="C3532" s="19">
        <v>15.318583528303309</v>
      </c>
      <c r="D3532" s="5">
        <v>168245.16738531995</v>
      </c>
      <c r="E3532" s="6">
        <v>81.206499489915103</v>
      </c>
    </row>
    <row r="3533" spans="1:5" x14ac:dyDescent="0.3">
      <c r="A3533" s="4">
        <v>3530</v>
      </c>
      <c r="B3533" s="5">
        <v>66160.372081729001</v>
      </c>
      <c r="C3533" s="19">
        <v>-17.827138520521785</v>
      </c>
      <c r="D3533" s="5">
        <v>117777.57593007431</v>
      </c>
      <c r="E3533" s="6">
        <v>78.018309486805364</v>
      </c>
    </row>
    <row r="3534" spans="1:5" x14ac:dyDescent="0.3">
      <c r="A3534" s="4">
        <v>3531</v>
      </c>
      <c r="B3534" s="5">
        <v>70421.668933220455</v>
      </c>
      <c r="C3534" s="19">
        <v>-12.534499666133513</v>
      </c>
      <c r="D3534" s="5">
        <v>117695.29603308025</v>
      </c>
      <c r="E3534" s="6">
        <v>67.129376250211394</v>
      </c>
    </row>
    <row r="3535" spans="1:5" x14ac:dyDescent="0.3">
      <c r="A3535" s="4">
        <v>3532</v>
      </c>
      <c r="B3535" s="5">
        <v>28825.42495367867</v>
      </c>
      <c r="C3535" s="19">
        <v>-64.198090529483764</v>
      </c>
      <c r="D3535" s="5">
        <v>55756.554350714563</v>
      </c>
      <c r="E3535" s="6">
        <v>93.428386364860756</v>
      </c>
    </row>
    <row r="3536" spans="1:5" x14ac:dyDescent="0.3">
      <c r="A3536" s="4">
        <v>3533</v>
      </c>
      <c r="B3536" s="5">
        <v>117903.5455102016</v>
      </c>
      <c r="C3536" s="19">
        <v>46.439196278715336</v>
      </c>
      <c r="D3536" s="5">
        <v>235664.71911437684</v>
      </c>
      <c r="E3536" s="6">
        <v>99.879247137640974</v>
      </c>
    </row>
    <row r="3537" spans="1:5" x14ac:dyDescent="0.3">
      <c r="A3537" s="4">
        <v>3534</v>
      </c>
      <c r="B3537" s="5">
        <v>57616.755312295645</v>
      </c>
      <c r="C3537" s="19">
        <v>-28.438527411459948</v>
      </c>
      <c r="D3537" s="5">
        <v>105687.74790555098</v>
      </c>
      <c r="E3537" s="6">
        <v>83.432314667321762</v>
      </c>
    </row>
    <row r="3538" spans="1:5" x14ac:dyDescent="0.3">
      <c r="A3538" s="4">
        <v>3535</v>
      </c>
      <c r="B3538" s="5">
        <v>40251.873879443105</v>
      </c>
      <c r="C3538" s="19">
        <v>-50.006150925225178</v>
      </c>
      <c r="D3538" s="5">
        <v>79173.583265250316</v>
      </c>
      <c r="E3538" s="6">
        <v>96.695397343189981</v>
      </c>
    </row>
    <row r="3539" spans="1:5" x14ac:dyDescent="0.3">
      <c r="A3539" s="4">
        <v>3536</v>
      </c>
      <c r="B3539" s="5">
        <v>92234.760244617952</v>
      </c>
      <c r="C3539" s="19">
        <v>14.557913426048621</v>
      </c>
      <c r="D3539" s="5">
        <v>167774.0614966845</v>
      </c>
      <c r="E3539" s="6">
        <v>81.898951167354923</v>
      </c>
    </row>
    <row r="3540" spans="1:5" x14ac:dyDescent="0.3">
      <c r="A3540" s="4">
        <v>3537</v>
      </c>
      <c r="B3540" s="5">
        <v>28857.242128588165</v>
      </c>
      <c r="C3540" s="19">
        <v>-64.158572790628284</v>
      </c>
      <c r="D3540" s="5">
        <v>62601.200920555108</v>
      </c>
      <c r="E3540" s="6">
        <v>116.93410840025362</v>
      </c>
    </row>
    <row r="3541" spans="1:5" x14ac:dyDescent="0.3">
      <c r="A3541" s="4">
        <v>3538</v>
      </c>
      <c r="B3541" s="5">
        <v>38460.526087792539</v>
      </c>
      <c r="C3541" s="19">
        <v>-52.231050352378219</v>
      </c>
      <c r="D3541" s="5">
        <v>78310.015793685903</v>
      </c>
      <c r="E3541" s="6">
        <v>103.61140046532459</v>
      </c>
    </row>
    <row r="3542" spans="1:5" x14ac:dyDescent="0.3">
      <c r="A3542" s="4">
        <v>3539</v>
      </c>
      <c r="B3542" s="5">
        <v>32269.980461345553</v>
      </c>
      <c r="C3542" s="19">
        <v>-59.919865155535902</v>
      </c>
      <c r="D3542" s="5">
        <v>59120.660899678129</v>
      </c>
      <c r="E3542" s="6">
        <v>83.206373398631399</v>
      </c>
    </row>
    <row r="3543" spans="1:5" x14ac:dyDescent="0.3">
      <c r="A3543" s="4">
        <v>3540</v>
      </c>
      <c r="B3543" s="5">
        <v>89096.217336172063</v>
      </c>
      <c r="C3543" s="19">
        <v>10.65976346787531</v>
      </c>
      <c r="D3543" s="5">
        <v>178449.72742990492</v>
      </c>
      <c r="E3543" s="6">
        <v>100.28878078694406</v>
      </c>
    </row>
    <row r="3544" spans="1:5" x14ac:dyDescent="0.3">
      <c r="A3544" s="4">
        <v>3541</v>
      </c>
      <c r="B3544" s="5">
        <v>113179.4346761511</v>
      </c>
      <c r="C3544" s="19">
        <v>40.57173071034471</v>
      </c>
      <c r="D3544" s="5">
        <v>194700.0436550439</v>
      </c>
      <c r="E3544" s="6">
        <v>72.027757703644582</v>
      </c>
    </row>
    <row r="3545" spans="1:5" x14ac:dyDescent="0.3">
      <c r="A3545" s="4">
        <v>3542</v>
      </c>
      <c r="B3545" s="5">
        <v>65609.039923986405</v>
      </c>
      <c r="C3545" s="19">
        <v>-18.511907054945969</v>
      </c>
      <c r="D3545" s="5">
        <v>134537.01930555562</v>
      </c>
      <c r="E3545" s="6">
        <v>105.05866182682763</v>
      </c>
    </row>
    <row r="3546" spans="1:5" x14ac:dyDescent="0.3">
      <c r="A3546" s="4">
        <v>3543</v>
      </c>
      <c r="B3546" s="5">
        <v>101233.07202409285</v>
      </c>
      <c r="C3546" s="19">
        <v>25.734045061017873</v>
      </c>
      <c r="D3546" s="5">
        <v>150003.07325972553</v>
      </c>
      <c r="E3546" s="6">
        <v>48.17595698767861</v>
      </c>
    </row>
    <row r="3547" spans="1:5" x14ac:dyDescent="0.3">
      <c r="A3547" s="4">
        <v>3544</v>
      </c>
      <c r="B3547" s="5">
        <v>32876.078678668979</v>
      </c>
      <c r="C3547" s="19">
        <v>-59.167075784981094</v>
      </c>
      <c r="D3547" s="5">
        <v>64824.541896735347</v>
      </c>
      <c r="E3547" s="6">
        <v>97.178448592762152</v>
      </c>
    </row>
    <row r="3548" spans="1:5" x14ac:dyDescent="0.3">
      <c r="A3548" s="4">
        <v>3545</v>
      </c>
      <c r="B3548" s="5">
        <v>56577.177417628183</v>
      </c>
      <c r="C3548" s="19">
        <v>-29.729709544325068</v>
      </c>
      <c r="D3548" s="5">
        <v>102488.26738664642</v>
      </c>
      <c r="E3548" s="6">
        <v>81.147720802899869</v>
      </c>
    </row>
    <row r="3549" spans="1:5" x14ac:dyDescent="0.3">
      <c r="A3549" s="4">
        <v>3546</v>
      </c>
      <c r="B3549" s="5">
        <v>35114.585921665181</v>
      </c>
      <c r="C3549" s="19">
        <v>-56.386792968972955</v>
      </c>
      <c r="D3549" s="5">
        <v>63450.216073316995</v>
      </c>
      <c r="E3549" s="6">
        <v>80.694758055424344</v>
      </c>
    </row>
    <row r="3550" spans="1:5" x14ac:dyDescent="0.3">
      <c r="A3550" s="4">
        <v>3547</v>
      </c>
      <c r="B3550" s="5">
        <v>54415.265458389891</v>
      </c>
      <c r="C3550" s="19">
        <v>-32.414859073681718</v>
      </c>
      <c r="D3550" s="5">
        <v>100699.08398800166</v>
      </c>
      <c r="E3550" s="6">
        <v>85.056680583510044</v>
      </c>
    </row>
    <row r="3551" spans="1:5" x14ac:dyDescent="0.3">
      <c r="A3551" s="4">
        <v>3548</v>
      </c>
      <c r="B3551" s="5">
        <v>88292.430980670499</v>
      </c>
      <c r="C3551" s="19">
        <v>9.6614404117695667</v>
      </c>
      <c r="D3551" s="5">
        <v>160587.19387516513</v>
      </c>
      <c r="E3551" s="6">
        <v>81.881042453482593</v>
      </c>
    </row>
    <row r="3552" spans="1:5" x14ac:dyDescent="0.3">
      <c r="A3552" s="4">
        <v>3549</v>
      </c>
      <c r="B3552" s="5">
        <v>96497.955629967095</v>
      </c>
      <c r="C3552" s="19">
        <v>19.85291030767878</v>
      </c>
      <c r="D3552" s="5">
        <v>153055.9857655885</v>
      </c>
      <c r="E3552" s="6">
        <v>58.610599329689329</v>
      </c>
    </row>
    <row r="3553" spans="1:5" x14ac:dyDescent="0.3">
      <c r="A3553" s="4">
        <v>3550</v>
      </c>
      <c r="B3553" s="5">
        <v>21331.554433087487</v>
      </c>
      <c r="C3553" s="19">
        <v>-73.505667933567665</v>
      </c>
      <c r="D3553" s="5">
        <v>46608.890416929702</v>
      </c>
      <c r="E3553" s="6">
        <v>118.49739344186941</v>
      </c>
    </row>
    <row r="3554" spans="1:5" x14ac:dyDescent="0.3">
      <c r="A3554" s="4">
        <v>3551</v>
      </c>
      <c r="B3554" s="5">
        <v>50361.271091368537</v>
      </c>
      <c r="C3554" s="19">
        <v>-37.450022980382727</v>
      </c>
      <c r="D3554" s="5">
        <v>95590.983368879897</v>
      </c>
      <c r="E3554" s="6">
        <v>89.81050576633146</v>
      </c>
    </row>
    <row r="3555" spans="1:5" x14ac:dyDescent="0.3">
      <c r="A3555" s="4">
        <v>3552</v>
      </c>
      <c r="B3555" s="5">
        <v>78894.017271489953</v>
      </c>
      <c r="C3555" s="19">
        <v>-2.0116279757131061</v>
      </c>
      <c r="D3555" s="5">
        <v>129406.81545739416</v>
      </c>
      <c r="E3555" s="6">
        <v>64.026145369273891</v>
      </c>
    </row>
    <row r="3556" spans="1:5" x14ac:dyDescent="0.3">
      <c r="A3556" s="4">
        <v>3553</v>
      </c>
      <c r="B3556" s="5">
        <v>93266.387560542149</v>
      </c>
      <c r="C3556" s="19">
        <v>15.839220738304437</v>
      </c>
      <c r="D3556" s="5">
        <v>200857.77013737458</v>
      </c>
      <c r="E3556" s="6">
        <v>115.35922575214086</v>
      </c>
    </row>
    <row r="3557" spans="1:5" x14ac:dyDescent="0.3">
      <c r="A3557" s="4">
        <v>3554</v>
      </c>
      <c r="B3557" s="5">
        <v>23136.186574467167</v>
      </c>
      <c r="C3557" s="19">
        <v>-71.264269006853354</v>
      </c>
      <c r="D3557" s="5">
        <v>46844.573614261186</v>
      </c>
      <c r="E3557" s="6">
        <v>102.47318400327185</v>
      </c>
    </row>
    <row r="3558" spans="1:5" x14ac:dyDescent="0.3">
      <c r="A3558" s="4">
        <v>3555</v>
      </c>
      <c r="B3558" s="5">
        <v>90380.773350015763</v>
      </c>
      <c r="C3558" s="19">
        <v>12.255214643056343</v>
      </c>
      <c r="D3558" s="5">
        <v>142261.51216374733</v>
      </c>
      <c r="E3558" s="6">
        <v>57.402406386604042</v>
      </c>
    </row>
    <row r="3559" spans="1:5" x14ac:dyDescent="0.3">
      <c r="A3559" s="4">
        <v>3556</v>
      </c>
      <c r="B3559" s="5">
        <v>78251.36545559486</v>
      </c>
      <c r="C3559" s="19">
        <v>-2.8098178435368144</v>
      </c>
      <c r="D3559" s="5">
        <v>124240.44870110876</v>
      </c>
      <c r="E3559" s="6">
        <v>58.770965819901541</v>
      </c>
    </row>
    <row r="3560" spans="1:5" x14ac:dyDescent="0.3">
      <c r="A3560" s="4">
        <v>3557</v>
      </c>
      <c r="B3560" s="5">
        <v>56736.726559945506</v>
      </c>
      <c r="C3560" s="19">
        <v>-29.531545459718423</v>
      </c>
      <c r="D3560" s="5">
        <v>101903.6446634493</v>
      </c>
      <c r="E3560" s="6">
        <v>79.607902750227296</v>
      </c>
    </row>
    <row r="3561" spans="1:5" x14ac:dyDescent="0.3">
      <c r="A3561" s="4">
        <v>3558</v>
      </c>
      <c r="B3561" s="5">
        <v>82038.781094540274</v>
      </c>
      <c r="C3561" s="19">
        <v>1.8942485163048801</v>
      </c>
      <c r="D3561" s="5">
        <v>139332.09325059387</v>
      </c>
      <c r="E3561" s="6">
        <v>69.836864214291083</v>
      </c>
    </row>
    <row r="3562" spans="1:5" x14ac:dyDescent="0.3">
      <c r="A3562" s="4">
        <v>3559</v>
      </c>
      <c r="B3562" s="5">
        <v>40733.164259549187</v>
      </c>
      <c r="C3562" s="19">
        <v>-49.408376056501538</v>
      </c>
      <c r="D3562" s="5">
        <v>80218.561749161119</v>
      </c>
      <c r="E3562" s="6">
        <v>96.936730075801222</v>
      </c>
    </row>
    <row r="3563" spans="1:5" x14ac:dyDescent="0.3">
      <c r="A3563" s="4">
        <v>3560</v>
      </c>
      <c r="B3563" s="5">
        <v>44571.311649129748</v>
      </c>
      <c r="C3563" s="19">
        <v>-44.641299574642943</v>
      </c>
      <c r="D3563" s="5">
        <v>90800.034633973846</v>
      </c>
      <c r="E3563" s="6">
        <v>103.71856082845771</v>
      </c>
    </row>
    <row r="3564" spans="1:5" x14ac:dyDescent="0.3">
      <c r="A3564" s="4">
        <v>3561</v>
      </c>
      <c r="B3564" s="5">
        <v>42194.15459569198</v>
      </c>
      <c r="C3564" s="19">
        <v>-47.593788974578636</v>
      </c>
      <c r="D3564" s="5">
        <v>88386.67066755124</v>
      </c>
      <c r="E3564" s="6">
        <v>109.47610282627991</v>
      </c>
    </row>
    <row r="3565" spans="1:5" x14ac:dyDescent="0.3">
      <c r="A3565" s="4">
        <v>3562</v>
      </c>
      <c r="B3565" s="5">
        <v>99350.812369517356</v>
      </c>
      <c r="C3565" s="19">
        <v>23.396230792489042</v>
      </c>
      <c r="D3565" s="5">
        <v>178193.57064987655</v>
      </c>
      <c r="E3565" s="6">
        <v>79.357940212021447</v>
      </c>
    </row>
    <row r="3566" spans="1:5" x14ac:dyDescent="0.3">
      <c r="A3566" s="4">
        <v>3563</v>
      </c>
      <c r="B3566" s="5">
        <v>65321.942580651223</v>
      </c>
      <c r="C3566" s="19">
        <v>-18.868489242782896</v>
      </c>
      <c r="D3566" s="5">
        <v>112713.62398684284</v>
      </c>
      <c r="E3566" s="6">
        <v>72.550936995908216</v>
      </c>
    </row>
    <row r="3567" spans="1:5" x14ac:dyDescent="0.3">
      <c r="A3567" s="4">
        <v>3564</v>
      </c>
      <c r="B3567" s="5">
        <v>90346.448701058151</v>
      </c>
      <c r="C3567" s="19">
        <v>12.212582557785703</v>
      </c>
      <c r="D3567" s="5">
        <v>162797.20500755095</v>
      </c>
      <c r="E3567" s="6">
        <v>80.192146285927279</v>
      </c>
    </row>
    <row r="3568" spans="1:5" x14ac:dyDescent="0.3">
      <c r="A3568" s="4">
        <v>3565</v>
      </c>
      <c r="B3568" s="5">
        <v>49188.474523995101</v>
      </c>
      <c r="C3568" s="19">
        <v>-38.906666086248798</v>
      </c>
      <c r="D3568" s="5">
        <v>93031.855503639497</v>
      </c>
      <c r="E3568" s="6">
        <v>89.133443157007719</v>
      </c>
    </row>
    <row r="3569" spans="1:5" x14ac:dyDescent="0.3">
      <c r="A3569" s="4">
        <v>3566</v>
      </c>
      <c r="B3569" s="5">
        <v>22874.628790773466</v>
      </c>
      <c r="C3569" s="19">
        <v>-71.5891304133429</v>
      </c>
      <c r="D3569" s="5">
        <v>45091.180816053253</v>
      </c>
      <c r="E3569" s="6">
        <v>97.123114995601085</v>
      </c>
    </row>
    <row r="3570" spans="1:5" x14ac:dyDescent="0.3">
      <c r="A3570" s="4">
        <v>3567</v>
      </c>
      <c r="B3570" s="5">
        <v>25963.953342212561</v>
      </c>
      <c r="C3570" s="19">
        <v>-67.75211090388548</v>
      </c>
      <c r="D3570" s="5">
        <v>45811.916984594136</v>
      </c>
      <c r="E3570" s="6">
        <v>76.44430484364058</v>
      </c>
    </row>
    <row r="3571" spans="1:5" x14ac:dyDescent="0.3">
      <c r="A3571" s="4">
        <v>3568</v>
      </c>
      <c r="B3571" s="5">
        <v>32455.304722862551</v>
      </c>
      <c r="C3571" s="19">
        <v>-59.689687718631355</v>
      </c>
      <c r="D3571" s="5">
        <v>60029.297034917116</v>
      </c>
      <c r="E3571" s="6">
        <v>84.95989345196493</v>
      </c>
    </row>
    <row r="3572" spans="1:5" x14ac:dyDescent="0.3">
      <c r="A3572" s="4">
        <v>3569</v>
      </c>
      <c r="B3572" s="5">
        <v>69727.948375507185</v>
      </c>
      <c r="C3572" s="19">
        <v>-13.396118207577324</v>
      </c>
      <c r="D3572" s="5">
        <v>120300.7718284757</v>
      </c>
      <c r="E3572" s="6">
        <v>72.528770215090461</v>
      </c>
    </row>
    <row r="3573" spans="1:5" x14ac:dyDescent="0.3">
      <c r="A3573" s="4">
        <v>3570</v>
      </c>
      <c r="B3573" s="5">
        <v>81109.383392147152</v>
      </c>
      <c r="C3573" s="19">
        <v>0.73991297895704555</v>
      </c>
      <c r="D3573" s="5">
        <v>162601.5889411984</v>
      </c>
      <c r="E3573" s="6">
        <v>100.4719825757437</v>
      </c>
    </row>
    <row r="3574" spans="1:5" x14ac:dyDescent="0.3">
      <c r="A3574" s="4">
        <v>3571</v>
      </c>
      <c r="B3574" s="5">
        <v>74434.73978138277</v>
      </c>
      <c r="C3574" s="19">
        <v>-7.5501638086203613</v>
      </c>
      <c r="D3574" s="5">
        <v>144529.12181756881</v>
      </c>
      <c r="E3574" s="6">
        <v>94.168908552720808</v>
      </c>
    </row>
    <row r="3575" spans="1:5" x14ac:dyDescent="0.3">
      <c r="A3575" s="4">
        <v>3572</v>
      </c>
      <c r="B3575" s="5">
        <v>127259.00403878398</v>
      </c>
      <c r="C3575" s="19">
        <v>58.05891324156034</v>
      </c>
      <c r="D3575" s="5">
        <v>189224.86155309033</v>
      </c>
      <c r="E3575" s="6">
        <v>48.692709786901503</v>
      </c>
    </row>
    <row r="3576" spans="1:5" x14ac:dyDescent="0.3">
      <c r="A3576" s="4">
        <v>3573</v>
      </c>
      <c r="B3576" s="5">
        <v>26161.684945128865</v>
      </c>
      <c r="C3576" s="19">
        <v>-67.506523234026474</v>
      </c>
      <c r="D3576" s="5">
        <v>55103.073716931751</v>
      </c>
      <c r="E3576" s="6">
        <v>110.62509479991114</v>
      </c>
    </row>
    <row r="3577" spans="1:5" x14ac:dyDescent="0.3">
      <c r="A3577" s="4">
        <v>3574</v>
      </c>
      <c r="B3577" s="5">
        <v>96486.901721712507</v>
      </c>
      <c r="C3577" s="19">
        <v>19.839181073044347</v>
      </c>
      <c r="D3577" s="5">
        <v>182216.4432180087</v>
      </c>
      <c r="E3577" s="6">
        <v>88.850963153068491</v>
      </c>
    </row>
    <row r="3578" spans="1:5" x14ac:dyDescent="0.3">
      <c r="A3578" s="4">
        <v>3575</v>
      </c>
      <c r="B3578" s="5">
        <v>61999.470938868195</v>
      </c>
      <c r="C3578" s="19">
        <v>-22.99508335643856</v>
      </c>
      <c r="D3578" s="5">
        <v>113890.71164758908</v>
      </c>
      <c r="E3578" s="6">
        <v>83.696263730840414</v>
      </c>
    </row>
    <row r="3579" spans="1:5" x14ac:dyDescent="0.3">
      <c r="A3579" s="4">
        <v>3576</v>
      </c>
      <c r="B3579" s="5">
        <v>29473.69920597929</v>
      </c>
      <c r="C3579" s="19">
        <v>-63.39291745292963</v>
      </c>
      <c r="D3579" s="5">
        <v>58740.759336927636</v>
      </c>
      <c r="E3579" s="6">
        <v>99.298903494987755</v>
      </c>
    </row>
    <row r="3580" spans="1:5" x14ac:dyDescent="0.3">
      <c r="A3580" s="4">
        <v>3577</v>
      </c>
      <c r="B3580" s="5">
        <v>66622.750076815544</v>
      </c>
      <c r="C3580" s="19">
        <v>-17.252853314046984</v>
      </c>
      <c r="D3580" s="5">
        <v>139950.7190513747</v>
      </c>
      <c r="E3580" s="6">
        <v>110.06445829692193</v>
      </c>
    </row>
    <row r="3581" spans="1:5" x14ac:dyDescent="0.3">
      <c r="A3581" s="4">
        <v>3578</v>
      </c>
      <c r="B3581" s="5">
        <v>112434.89906047135</v>
      </c>
      <c r="C3581" s="19">
        <v>39.64699857706389</v>
      </c>
      <c r="D3581" s="5">
        <v>194443.162262867</v>
      </c>
      <c r="E3581" s="6">
        <v>72.938441611699929</v>
      </c>
    </row>
    <row r="3582" spans="1:5" x14ac:dyDescent="0.3">
      <c r="A3582" s="4">
        <v>3579</v>
      </c>
      <c r="B3582" s="5">
        <v>33054.063433841831</v>
      </c>
      <c r="C3582" s="19">
        <v>-58.946014201255245</v>
      </c>
      <c r="D3582" s="5">
        <v>60007.512247876701</v>
      </c>
      <c r="E3582" s="6">
        <v>81.543526011507097</v>
      </c>
    </row>
    <row r="3583" spans="1:5" x14ac:dyDescent="0.3">
      <c r="A3583" s="4">
        <v>3580</v>
      </c>
      <c r="B3583" s="5">
        <v>60138.237514392284</v>
      </c>
      <c r="C3583" s="19">
        <v>-25.306782513473241</v>
      </c>
      <c r="D3583" s="5">
        <v>128990.2130625546</v>
      </c>
      <c r="E3583" s="6">
        <v>114.48951348413672</v>
      </c>
    </row>
    <row r="3584" spans="1:5" x14ac:dyDescent="0.3">
      <c r="A3584" s="4">
        <v>3581</v>
      </c>
      <c r="B3584" s="5">
        <v>40417.214046111207</v>
      </c>
      <c r="C3584" s="19">
        <v>-49.800794241380828</v>
      </c>
      <c r="D3584" s="5">
        <v>85697.472430755326</v>
      </c>
      <c r="E3584" s="6">
        <v>112.03211169623111</v>
      </c>
    </row>
    <row r="3585" spans="1:5" x14ac:dyDescent="0.3">
      <c r="A3585" s="4">
        <v>3582</v>
      </c>
      <c r="B3585" s="5">
        <v>66814.809054973288</v>
      </c>
      <c r="C3585" s="19">
        <v>-17.014311188126797</v>
      </c>
      <c r="D3585" s="5">
        <v>122771.76623656241</v>
      </c>
      <c r="E3585" s="6">
        <v>83.749333378397239</v>
      </c>
    </row>
    <row r="3586" spans="1:5" x14ac:dyDescent="0.3">
      <c r="A3586" s="4">
        <v>3583</v>
      </c>
      <c r="B3586" s="5">
        <v>69667.638689928426</v>
      </c>
      <c r="C3586" s="19">
        <v>-13.471024367911671</v>
      </c>
      <c r="D3586" s="5">
        <v>128112.02381526116</v>
      </c>
      <c r="E3586" s="6">
        <v>83.890291424190039</v>
      </c>
    </row>
    <row r="3587" spans="1:5" x14ac:dyDescent="0.3">
      <c r="A3587" s="4">
        <v>3584</v>
      </c>
      <c r="B3587" s="5">
        <v>44683.169589966463</v>
      </c>
      <c r="C3587" s="19">
        <v>-44.502369172824764</v>
      </c>
      <c r="D3587" s="5">
        <v>68847.192640226378</v>
      </c>
      <c r="E3587" s="6">
        <v>54.078578740049608</v>
      </c>
    </row>
    <row r="3588" spans="1:5" x14ac:dyDescent="0.3">
      <c r="A3588" s="4">
        <v>3585</v>
      </c>
      <c r="B3588" s="5">
        <v>63119.536677845565</v>
      </c>
      <c r="C3588" s="19">
        <v>-21.603933277911196</v>
      </c>
      <c r="D3588" s="5">
        <v>120177.9747786043</v>
      </c>
      <c r="E3588" s="6">
        <v>90.397428599607849</v>
      </c>
    </row>
    <row r="3589" spans="1:5" x14ac:dyDescent="0.3">
      <c r="A3589" s="4">
        <v>3586</v>
      </c>
      <c r="B3589" s="5">
        <v>54946.153347282881</v>
      </c>
      <c r="C3589" s="19">
        <v>-31.755482840107245</v>
      </c>
      <c r="D3589" s="5">
        <v>107300.48198379915</v>
      </c>
      <c r="E3589" s="6">
        <v>95.282973324110273</v>
      </c>
    </row>
    <row r="3590" spans="1:5" x14ac:dyDescent="0.3">
      <c r="A3590" s="4">
        <v>3587</v>
      </c>
      <c r="B3590" s="5">
        <v>109036.86317496258</v>
      </c>
      <c r="C3590" s="19">
        <v>35.426551754647669</v>
      </c>
      <c r="D3590" s="5">
        <v>196129.82978941363</v>
      </c>
      <c r="E3590" s="6">
        <v>79.874791037137655</v>
      </c>
    </row>
    <row r="3591" spans="1:5" x14ac:dyDescent="0.3">
      <c r="A3591" s="4">
        <v>3588</v>
      </c>
      <c r="B3591" s="5">
        <v>57307.862889942771</v>
      </c>
      <c r="C3591" s="19">
        <v>-28.822179640663066</v>
      </c>
      <c r="D3591" s="5">
        <v>107499.30851012711</v>
      </c>
      <c r="E3591" s="6">
        <v>87.582127633296679</v>
      </c>
    </row>
    <row r="3592" spans="1:5" x14ac:dyDescent="0.3">
      <c r="A3592" s="4">
        <v>3589</v>
      </c>
      <c r="B3592" s="5">
        <v>134579.9496156626</v>
      </c>
      <c r="C3592" s="19">
        <v>67.151713476185677</v>
      </c>
      <c r="D3592" s="5">
        <v>196844.17213613843</v>
      </c>
      <c r="E3592" s="6">
        <v>46.265601003932488</v>
      </c>
    </row>
    <row r="3593" spans="1:5" x14ac:dyDescent="0.3">
      <c r="A3593" s="4">
        <v>3590</v>
      </c>
      <c r="B3593" s="5">
        <v>61204.239134590411</v>
      </c>
      <c r="C3593" s="19">
        <v>-23.982781442783512</v>
      </c>
      <c r="D3593" s="5">
        <v>115741.95472875009</v>
      </c>
      <c r="E3593" s="6">
        <v>89.107742152025125</v>
      </c>
    </row>
    <row r="3594" spans="1:5" x14ac:dyDescent="0.3">
      <c r="A3594" s="4">
        <v>3591</v>
      </c>
      <c r="B3594" s="5">
        <v>82932.827637529757</v>
      </c>
      <c r="C3594" s="19">
        <v>3.004677016352113</v>
      </c>
      <c r="D3594" s="5">
        <v>174529.87881017019</v>
      </c>
      <c r="E3594" s="6">
        <v>110.44727857704184</v>
      </c>
    </row>
    <row r="3595" spans="1:5" x14ac:dyDescent="0.3">
      <c r="A3595" s="4">
        <v>3592</v>
      </c>
      <c r="B3595" s="5">
        <v>25802.167755705112</v>
      </c>
      <c r="C3595" s="19">
        <v>-67.953052708944099</v>
      </c>
      <c r="D3595" s="5">
        <v>44733.188581727227</v>
      </c>
      <c r="E3595" s="6">
        <v>73.369885062607892</v>
      </c>
    </row>
    <row r="3596" spans="1:5" x14ac:dyDescent="0.3">
      <c r="A3596" s="4">
        <v>3593</v>
      </c>
      <c r="B3596" s="5">
        <v>72820.983072605508</v>
      </c>
      <c r="C3596" s="19">
        <v>-9.5544906030362231</v>
      </c>
      <c r="D3596" s="5">
        <v>139846.91608627618</v>
      </c>
      <c r="E3596" s="6">
        <v>92.042060111771718</v>
      </c>
    </row>
    <row r="3597" spans="1:5" x14ac:dyDescent="0.3">
      <c r="A3597" s="4">
        <v>3594</v>
      </c>
      <c r="B3597" s="5">
        <v>82436.647487631024</v>
      </c>
      <c r="C3597" s="19">
        <v>2.3884086755977965</v>
      </c>
      <c r="D3597" s="5">
        <v>139895.94096935971</v>
      </c>
      <c r="E3597" s="6">
        <v>69.701152621896725</v>
      </c>
    </row>
    <row r="3598" spans="1:5" x14ac:dyDescent="0.3">
      <c r="A3598" s="4">
        <v>3595</v>
      </c>
      <c r="B3598" s="5">
        <v>128053.23762698846</v>
      </c>
      <c r="C3598" s="19">
        <v>59.045371518204433</v>
      </c>
      <c r="D3598" s="5">
        <v>234364.35788042488</v>
      </c>
      <c r="E3598" s="6">
        <v>83.02103267635799</v>
      </c>
    </row>
    <row r="3599" spans="1:5" x14ac:dyDescent="0.3">
      <c r="A3599" s="4">
        <v>3596</v>
      </c>
      <c r="B3599" s="5">
        <v>75664.794186035215</v>
      </c>
      <c r="C3599" s="19">
        <v>-6.0224050154735327</v>
      </c>
      <c r="D3599" s="5">
        <v>136269.46135930248</v>
      </c>
      <c r="E3599" s="6">
        <v>80.096255894465301</v>
      </c>
    </row>
    <row r="3600" spans="1:5" x14ac:dyDescent="0.3">
      <c r="A3600" s="4">
        <v>3597</v>
      </c>
      <c r="B3600" s="5">
        <v>71111.48296871304</v>
      </c>
      <c r="C3600" s="19">
        <v>-11.677733124447363</v>
      </c>
      <c r="D3600" s="5">
        <v>125923.38278175467</v>
      </c>
      <c r="E3600" s="6">
        <v>77.078831047803149</v>
      </c>
    </row>
    <row r="3601" spans="1:5" x14ac:dyDescent="0.3">
      <c r="A3601" s="4">
        <v>3598</v>
      </c>
      <c r="B3601" s="5">
        <v>59427.88826448677</v>
      </c>
      <c r="C3601" s="19">
        <v>-26.189054312707228</v>
      </c>
      <c r="D3601" s="5">
        <v>103593.46151480652</v>
      </c>
      <c r="E3601" s="6">
        <v>74.317924698516407</v>
      </c>
    </row>
    <row r="3602" spans="1:5" x14ac:dyDescent="0.3">
      <c r="A3602" s="4">
        <v>3599</v>
      </c>
      <c r="B3602" s="5">
        <v>88499.419062266184</v>
      </c>
      <c r="C3602" s="19">
        <v>9.9185248631062972</v>
      </c>
      <c r="D3602" s="5">
        <v>152711.02698899017</v>
      </c>
      <c r="E3602" s="6">
        <v>72.555965459554201</v>
      </c>
    </row>
    <row r="3603" spans="1:5" x14ac:dyDescent="0.3">
      <c r="A3603" s="4">
        <v>3600</v>
      </c>
      <c r="B3603" s="5">
        <v>121665.17025224851</v>
      </c>
      <c r="C3603" s="19">
        <v>51.111229689956716</v>
      </c>
      <c r="D3603" s="5">
        <v>230920.77845203708</v>
      </c>
      <c r="E3603" s="6">
        <v>89.800234506941308</v>
      </c>
    </row>
    <row r="3604" spans="1:5" x14ac:dyDescent="0.3">
      <c r="A3604" s="4">
        <v>3601</v>
      </c>
      <c r="B3604" s="5">
        <v>64663.399710509737</v>
      </c>
      <c r="C3604" s="19">
        <v>-19.686416203344514</v>
      </c>
      <c r="D3604" s="5">
        <v>134841.67922851801</v>
      </c>
      <c r="E3604" s="6">
        <v>108.5285955149095</v>
      </c>
    </row>
    <row r="3605" spans="1:5" x14ac:dyDescent="0.3">
      <c r="A3605" s="4">
        <v>3602</v>
      </c>
      <c r="B3605" s="5">
        <v>59789.645873658374</v>
      </c>
      <c r="C3605" s="19">
        <v>-25.739742179594018</v>
      </c>
      <c r="D3605" s="5">
        <v>90839.668213138153</v>
      </c>
      <c r="E3605" s="6">
        <v>51.932106112639723</v>
      </c>
    </row>
    <row r="3606" spans="1:5" x14ac:dyDescent="0.3">
      <c r="A3606" s="4">
        <v>3603</v>
      </c>
      <c r="B3606" s="5">
        <v>63810.805727341656</v>
      </c>
      <c r="C3606" s="19">
        <v>-20.74535957189995</v>
      </c>
      <c r="D3606" s="5">
        <v>119886.55696920665</v>
      </c>
      <c r="E3606" s="6">
        <v>87.878143212094955</v>
      </c>
    </row>
    <row r="3607" spans="1:5" x14ac:dyDescent="0.3">
      <c r="A3607" s="4">
        <v>3604</v>
      </c>
      <c r="B3607" s="5">
        <v>68472.835475897547</v>
      </c>
      <c r="C3607" s="19">
        <v>-14.955000287522749</v>
      </c>
      <c r="D3607" s="5">
        <v>120945.69014256747</v>
      </c>
      <c r="E3607" s="6">
        <v>76.63309734725442</v>
      </c>
    </row>
    <row r="3608" spans="1:5" x14ac:dyDescent="0.3">
      <c r="A3608" s="4">
        <v>3605</v>
      </c>
      <c r="B3608" s="5">
        <v>87673.055001898378</v>
      </c>
      <c r="C3608" s="19">
        <v>8.8921597244650101</v>
      </c>
      <c r="D3608" s="5">
        <v>157434.07580239401</v>
      </c>
      <c r="E3608" s="6">
        <v>79.569510608459012</v>
      </c>
    </row>
    <row r="3609" spans="1:5" x14ac:dyDescent="0.3">
      <c r="A3609" s="4">
        <v>3606</v>
      </c>
      <c r="B3609" s="5">
        <v>69492.553111597779</v>
      </c>
      <c r="C3609" s="19">
        <v>-13.688485100409453</v>
      </c>
      <c r="D3609" s="5">
        <v>136332.39556104087</v>
      </c>
      <c r="E3609" s="6">
        <v>96.182741109116094</v>
      </c>
    </row>
    <row r="3610" spans="1:5" x14ac:dyDescent="0.3">
      <c r="A3610" s="4">
        <v>3607</v>
      </c>
      <c r="B3610" s="5">
        <v>104533.57651215063</v>
      </c>
      <c r="C3610" s="19">
        <v>29.833355412152766</v>
      </c>
      <c r="D3610" s="5">
        <v>180098.02718568945</v>
      </c>
      <c r="E3610" s="6">
        <v>72.287252761083394</v>
      </c>
    </row>
    <row r="3611" spans="1:5" x14ac:dyDescent="0.3">
      <c r="A3611" s="4">
        <v>3608</v>
      </c>
      <c r="B3611" s="5">
        <v>119114.54416676363</v>
      </c>
      <c r="C3611" s="19">
        <v>47.943287349040311</v>
      </c>
      <c r="D3611" s="5">
        <v>249145.09471399305</v>
      </c>
      <c r="E3611" s="6">
        <v>109.16429345956533</v>
      </c>
    </row>
    <row r="3612" spans="1:5" x14ac:dyDescent="0.3">
      <c r="A3612" s="4">
        <v>3609</v>
      </c>
      <c r="B3612" s="5">
        <v>41393.956273725584</v>
      </c>
      <c r="C3612" s="19">
        <v>-48.58765560195836</v>
      </c>
      <c r="D3612" s="5">
        <v>67549.296594672225</v>
      </c>
      <c r="E3612" s="6">
        <v>63.186374716128533</v>
      </c>
    </row>
    <row r="3613" spans="1:5" x14ac:dyDescent="0.3">
      <c r="A3613" s="4">
        <v>3610</v>
      </c>
      <c r="B3613" s="5">
        <v>73363.913342199317</v>
      </c>
      <c r="C3613" s="19">
        <v>-8.8801574269586272</v>
      </c>
      <c r="D3613" s="5">
        <v>151877.45353170804</v>
      </c>
      <c r="E3613" s="6">
        <v>107.01929138279394</v>
      </c>
    </row>
    <row r="3614" spans="1:5" x14ac:dyDescent="0.3">
      <c r="A3614" s="4">
        <v>3611</v>
      </c>
      <c r="B3614" s="5">
        <v>99989.86057913184</v>
      </c>
      <c r="C3614" s="19">
        <v>24.189944889841609</v>
      </c>
      <c r="D3614" s="5">
        <v>172161.46285023337</v>
      </c>
      <c r="E3614" s="6">
        <v>72.178920795659096</v>
      </c>
    </row>
    <row r="3615" spans="1:5" x14ac:dyDescent="0.3">
      <c r="A3615" s="4">
        <v>3612</v>
      </c>
      <c r="B3615" s="5">
        <v>43854.840012154898</v>
      </c>
      <c r="C3615" s="19">
        <v>-45.531175534022076</v>
      </c>
      <c r="D3615" s="5">
        <v>82727.023430257963</v>
      </c>
      <c r="E3615" s="6">
        <v>88.638297180719789</v>
      </c>
    </row>
    <row r="3616" spans="1:5" x14ac:dyDescent="0.3">
      <c r="A3616" s="4">
        <v>3613</v>
      </c>
      <c r="B3616" s="5">
        <v>88895.841399662095</v>
      </c>
      <c r="C3616" s="19">
        <v>10.410891468571643</v>
      </c>
      <c r="D3616" s="5">
        <v>182895.0264438983</v>
      </c>
      <c r="E3616" s="6">
        <v>105.74081257820629</v>
      </c>
    </row>
    <row r="3617" spans="1:5" x14ac:dyDescent="0.3">
      <c r="A3617" s="4">
        <v>3614</v>
      </c>
      <c r="B3617" s="5">
        <v>64740.847274975051</v>
      </c>
      <c r="C3617" s="19">
        <v>-19.590224362420923</v>
      </c>
      <c r="D3617" s="5">
        <v>127554.95034918071</v>
      </c>
      <c r="E3617" s="6">
        <v>97.023912596346022</v>
      </c>
    </row>
    <row r="3618" spans="1:5" x14ac:dyDescent="0.3">
      <c r="A3618" s="4">
        <v>3615</v>
      </c>
      <c r="B3618" s="5">
        <v>54085.139155344586</v>
      </c>
      <c r="C3618" s="19">
        <v>-32.824884321686113</v>
      </c>
      <c r="D3618" s="5">
        <v>100517.1573901434</v>
      </c>
      <c r="E3618" s="6">
        <v>85.849863677776071</v>
      </c>
    </row>
    <row r="3619" spans="1:5" x14ac:dyDescent="0.3">
      <c r="A3619" s="4">
        <v>3616</v>
      </c>
      <c r="B3619" s="5">
        <v>83909.473611613066</v>
      </c>
      <c r="C3619" s="19">
        <v>4.2176961064457865</v>
      </c>
      <c r="D3619" s="5">
        <v>162784.9021176536</v>
      </c>
      <c r="E3619" s="6">
        <v>94.000623661550634</v>
      </c>
    </row>
    <row r="3620" spans="1:5" x14ac:dyDescent="0.3">
      <c r="A3620" s="4">
        <v>3617</v>
      </c>
      <c r="B3620" s="5">
        <v>119208.44807086569</v>
      </c>
      <c r="C3620" s="19">
        <v>48.059918381505312</v>
      </c>
      <c r="D3620" s="5">
        <v>232071.1721093771</v>
      </c>
      <c r="E3620" s="6">
        <v>94.676783285877576</v>
      </c>
    </row>
    <row r="3621" spans="1:5" x14ac:dyDescent="0.3">
      <c r="A3621" s="4">
        <v>3618</v>
      </c>
      <c r="B3621" s="5">
        <v>63515.459282276504</v>
      </c>
      <c r="C3621" s="19">
        <v>-21.112187353473104</v>
      </c>
      <c r="D3621" s="5">
        <v>106312.40972021849</v>
      </c>
      <c r="E3621" s="6">
        <v>67.380368372592642</v>
      </c>
    </row>
    <row r="3622" spans="1:5" x14ac:dyDescent="0.3">
      <c r="A3622" s="4">
        <v>3619</v>
      </c>
      <c r="B3622" s="5">
        <v>109394.30338930896</v>
      </c>
      <c r="C3622" s="19">
        <v>35.870501573799174</v>
      </c>
      <c r="D3622" s="5">
        <v>216410.45996969985</v>
      </c>
      <c r="E3622" s="6">
        <v>97.826078017559297</v>
      </c>
    </row>
    <row r="3623" spans="1:5" x14ac:dyDescent="0.3">
      <c r="A3623" s="4">
        <v>3620</v>
      </c>
      <c r="B3623" s="5">
        <v>34014.662886152102</v>
      </c>
      <c r="C3623" s="19">
        <v>-57.752925298513823</v>
      </c>
      <c r="D3623" s="5">
        <v>64418.331361110999</v>
      </c>
      <c r="E3623" s="6">
        <v>89.384006470152912</v>
      </c>
    </row>
    <row r="3624" spans="1:5" x14ac:dyDescent="0.3">
      <c r="A3624" s="4">
        <v>3621</v>
      </c>
      <c r="B3624" s="5">
        <v>75519.116324808027</v>
      </c>
      <c r="C3624" s="19">
        <v>-6.2033406168704044</v>
      </c>
      <c r="D3624" s="5">
        <v>135453.44670305244</v>
      </c>
      <c r="E3624" s="6">
        <v>79.36312459015889</v>
      </c>
    </row>
    <row r="3625" spans="1:5" x14ac:dyDescent="0.3">
      <c r="A3625" s="4">
        <v>3622</v>
      </c>
      <c r="B3625" s="5">
        <v>56041.760300079157</v>
      </c>
      <c r="C3625" s="19">
        <v>-30.394711194856111</v>
      </c>
      <c r="D3625" s="5">
        <v>118617.16397641985</v>
      </c>
      <c r="E3625" s="6">
        <v>111.6585263226507</v>
      </c>
    </row>
    <row r="3626" spans="1:5" x14ac:dyDescent="0.3">
      <c r="A3626" s="4">
        <v>3623</v>
      </c>
      <c r="B3626" s="5">
        <v>51721.90739114504</v>
      </c>
      <c r="C3626" s="19">
        <v>-35.760078158921218</v>
      </c>
      <c r="D3626" s="5">
        <v>108052.46070137585</v>
      </c>
      <c r="E3626" s="6">
        <v>108.91043302837433</v>
      </c>
    </row>
    <row r="3627" spans="1:5" x14ac:dyDescent="0.3">
      <c r="A3627" s="4">
        <v>3624</v>
      </c>
      <c r="B3627" s="5">
        <v>50430.749511868387</v>
      </c>
      <c r="C3627" s="19">
        <v>-37.363729018545655</v>
      </c>
      <c r="D3627" s="5">
        <v>105709.62426128364</v>
      </c>
      <c r="E3627" s="6">
        <v>109.61343086206938</v>
      </c>
    </row>
    <row r="3628" spans="1:5" x14ac:dyDescent="0.3">
      <c r="A3628" s="4">
        <v>3625</v>
      </c>
      <c r="B3628" s="5">
        <v>36193.807482266864</v>
      </c>
      <c r="C3628" s="19">
        <v>-55.046372396739216</v>
      </c>
      <c r="D3628" s="5">
        <v>78914.255805716137</v>
      </c>
      <c r="E3628" s="6">
        <v>118.03247929740503</v>
      </c>
    </row>
    <row r="3629" spans="1:5" x14ac:dyDescent="0.3">
      <c r="A3629" s="4">
        <v>3626</v>
      </c>
      <c r="B3629" s="5">
        <v>98921.434640177438</v>
      </c>
      <c r="C3629" s="19">
        <v>22.86293275371991</v>
      </c>
      <c r="D3629" s="5">
        <v>188466.66803714773</v>
      </c>
      <c r="E3629" s="6">
        <v>90.521567669016648</v>
      </c>
    </row>
    <row r="3630" spans="1:5" x14ac:dyDescent="0.3">
      <c r="A3630" s="4">
        <v>3627</v>
      </c>
      <c r="B3630" s="5">
        <v>68077.682494550507</v>
      </c>
      <c r="C3630" s="19">
        <v>-15.445790320555233</v>
      </c>
      <c r="D3630" s="5">
        <v>130589.77393332776</v>
      </c>
      <c r="E3630" s="6">
        <v>91.824646709707295</v>
      </c>
    </row>
    <row r="3631" spans="1:5" x14ac:dyDescent="0.3">
      <c r="A3631" s="4">
        <v>3628</v>
      </c>
      <c r="B3631" s="5">
        <v>126945.02003978085</v>
      </c>
      <c r="C3631" s="19">
        <v>57.668937144917699</v>
      </c>
      <c r="D3631" s="5">
        <v>214066.04293934835</v>
      </c>
      <c r="E3631" s="6">
        <v>68.628940995295693</v>
      </c>
    </row>
    <row r="3632" spans="1:5" x14ac:dyDescent="0.3">
      <c r="A3632" s="4">
        <v>3629</v>
      </c>
      <c r="B3632" s="5">
        <v>47304.478016255867</v>
      </c>
      <c r="C3632" s="19">
        <v>-41.246637570493675</v>
      </c>
      <c r="D3632" s="5">
        <v>89757.532186358556</v>
      </c>
      <c r="E3632" s="6">
        <v>89.744260903828135</v>
      </c>
    </row>
    <row r="3633" spans="1:5" x14ac:dyDescent="0.3">
      <c r="A3633" s="4">
        <v>3630</v>
      </c>
      <c r="B3633" s="5">
        <v>52749.661693791088</v>
      </c>
      <c r="C3633" s="19">
        <v>-34.483581227465862</v>
      </c>
      <c r="D3633" s="5">
        <v>102834.97748591889</v>
      </c>
      <c r="E3633" s="6">
        <v>94.949074901883407</v>
      </c>
    </row>
    <row r="3634" spans="1:5" x14ac:dyDescent="0.3">
      <c r="A3634" s="4">
        <v>3631</v>
      </c>
      <c r="B3634" s="5">
        <v>63347.237293095961</v>
      </c>
      <c r="C3634" s="19">
        <v>-21.32112333402743</v>
      </c>
      <c r="D3634" s="5">
        <v>127902.97511590621</v>
      </c>
      <c r="E3634" s="6">
        <v>101.90773991314377</v>
      </c>
    </row>
    <row r="3635" spans="1:5" x14ac:dyDescent="0.3">
      <c r="A3635" s="4">
        <v>3632</v>
      </c>
      <c r="B3635" s="5">
        <v>117346.62074229591</v>
      </c>
      <c r="C3635" s="19">
        <v>45.747481580510929</v>
      </c>
      <c r="D3635" s="5">
        <v>192301.62326274288</v>
      </c>
      <c r="E3635" s="6">
        <v>63.874870913458281</v>
      </c>
    </row>
    <row r="3636" spans="1:5" x14ac:dyDescent="0.3">
      <c r="A3636" s="4">
        <v>3633</v>
      </c>
      <c r="B3636" s="5">
        <v>65944.722472430905</v>
      </c>
      <c r="C3636" s="19">
        <v>-18.094980809121154</v>
      </c>
      <c r="D3636" s="5">
        <v>115906.49318832732</v>
      </c>
      <c r="E3636" s="6">
        <v>75.763107103504183</v>
      </c>
    </row>
    <row r="3637" spans="1:5" x14ac:dyDescent="0.3">
      <c r="A3637" s="4">
        <v>3634</v>
      </c>
      <c r="B3637" s="5">
        <v>67085.689534368474</v>
      </c>
      <c r="C3637" s="19">
        <v>-16.677870756937285</v>
      </c>
      <c r="D3637" s="5">
        <v>105800.50859003377</v>
      </c>
      <c r="E3637" s="6">
        <v>57.709504552131676</v>
      </c>
    </row>
    <row r="3638" spans="1:5" x14ac:dyDescent="0.3">
      <c r="A3638" s="4">
        <v>3635</v>
      </c>
      <c r="B3638" s="5">
        <v>35245.836771186638</v>
      </c>
      <c r="C3638" s="19">
        <v>-56.223776082316576</v>
      </c>
      <c r="D3638" s="5">
        <v>73008.096051206347</v>
      </c>
      <c r="E3638" s="6">
        <v>107.13963049074277</v>
      </c>
    </row>
    <row r="3639" spans="1:5" x14ac:dyDescent="0.3">
      <c r="A3639" s="4">
        <v>3636</v>
      </c>
      <c r="B3639" s="5">
        <v>44170.587455050285</v>
      </c>
      <c r="C3639" s="19">
        <v>-45.139009195303629</v>
      </c>
      <c r="D3639" s="5">
        <v>94331.254136577612</v>
      </c>
      <c r="E3639" s="6">
        <v>113.56123966558694</v>
      </c>
    </row>
    <row r="3640" spans="1:5" x14ac:dyDescent="0.3">
      <c r="A3640" s="4">
        <v>3637</v>
      </c>
      <c r="B3640" s="5">
        <v>50668.188381448796</v>
      </c>
      <c r="C3640" s="19">
        <v>-37.068823915597129</v>
      </c>
      <c r="D3640" s="5">
        <v>102960.92745152523</v>
      </c>
      <c r="E3640" s="6">
        <v>103.20625374721793</v>
      </c>
    </row>
    <row r="3641" spans="1:5" x14ac:dyDescent="0.3">
      <c r="A3641" s="4">
        <v>3638</v>
      </c>
      <c r="B3641" s="5">
        <v>48223.781155207107</v>
      </c>
      <c r="C3641" s="19">
        <v>-40.104839737171766</v>
      </c>
      <c r="D3641" s="5">
        <v>105528.89859936021</v>
      </c>
      <c r="E3641" s="6">
        <v>118.8316554019643</v>
      </c>
    </row>
    <row r="3642" spans="1:5" x14ac:dyDescent="0.3">
      <c r="A3642" s="4">
        <v>3639</v>
      </c>
      <c r="B3642" s="5">
        <v>38911.800190521273</v>
      </c>
      <c r="C3642" s="19">
        <v>-51.670556462062798</v>
      </c>
      <c r="D3642" s="5">
        <v>77587.31827222697</v>
      </c>
      <c r="E3642" s="6">
        <v>99.392775179614716</v>
      </c>
    </row>
    <row r="3643" spans="1:5" x14ac:dyDescent="0.3">
      <c r="A3643" s="4">
        <v>3640</v>
      </c>
      <c r="B3643" s="5">
        <v>48501.214123118174</v>
      </c>
      <c r="C3643" s="19">
        <v>-39.76026094892319</v>
      </c>
      <c r="D3643" s="5">
        <v>88313.826374525379</v>
      </c>
      <c r="E3643" s="6">
        <v>82.085805419931674</v>
      </c>
    </row>
    <row r="3644" spans="1:5" x14ac:dyDescent="0.3">
      <c r="A3644" s="4">
        <v>3641</v>
      </c>
      <c r="B3644" s="5">
        <v>73308.302471487332</v>
      </c>
      <c r="C3644" s="19">
        <v>-8.9492275399580539</v>
      </c>
      <c r="D3644" s="5">
        <v>154774.92017833263</v>
      </c>
      <c r="E3644" s="6">
        <v>111.12877390460798</v>
      </c>
    </row>
    <row r="3645" spans="1:5" x14ac:dyDescent="0.3">
      <c r="A3645" s="4">
        <v>3642</v>
      </c>
      <c r="B3645" s="5">
        <v>84689.742032665046</v>
      </c>
      <c r="C3645" s="19">
        <v>5.1868092910075498</v>
      </c>
      <c r="D3645" s="5">
        <v>155490.9154670187</v>
      </c>
      <c r="E3645" s="6">
        <v>83.600648360748892</v>
      </c>
    </row>
    <row r="3646" spans="1:5" x14ac:dyDescent="0.3">
      <c r="A3646" s="4">
        <v>3643</v>
      </c>
      <c r="B3646" s="5">
        <v>98155.411456328628</v>
      </c>
      <c r="C3646" s="19">
        <v>21.91151251535247</v>
      </c>
      <c r="D3646" s="5">
        <v>159097.58472639738</v>
      </c>
      <c r="E3646" s="6">
        <v>62.087430907651168</v>
      </c>
    </row>
    <row r="3647" spans="1:5" x14ac:dyDescent="0.3">
      <c r="A3647" s="4">
        <v>3644</v>
      </c>
      <c r="B3647" s="5">
        <v>60787.692634131592</v>
      </c>
      <c r="C3647" s="19">
        <v>-24.500142769586216</v>
      </c>
      <c r="D3647" s="5">
        <v>109248.12585240421</v>
      </c>
      <c r="E3647" s="6">
        <v>79.720797283663686</v>
      </c>
    </row>
    <row r="3648" spans="1:5" x14ac:dyDescent="0.3">
      <c r="A3648" s="4">
        <v>3645</v>
      </c>
      <c r="B3648" s="5">
        <v>64497.255738217609</v>
      </c>
      <c r="C3648" s="19">
        <v>-19.892771234176958</v>
      </c>
      <c r="D3648" s="5">
        <v>125305.89731521727</v>
      </c>
      <c r="E3648" s="6">
        <v>94.28097502909371</v>
      </c>
    </row>
    <row r="3649" spans="1:5" x14ac:dyDescent="0.3">
      <c r="A3649" s="4">
        <v>3646</v>
      </c>
      <c r="B3649" s="5">
        <v>36873.69239020539</v>
      </c>
      <c r="C3649" s="19">
        <v>-54.201938083507031</v>
      </c>
      <c r="D3649" s="5">
        <v>72213.148300959743</v>
      </c>
      <c r="E3649" s="6">
        <v>95.839211155705769</v>
      </c>
    </row>
    <row r="3650" spans="1:5" x14ac:dyDescent="0.3">
      <c r="A3650" s="4">
        <v>3647</v>
      </c>
      <c r="B3650" s="5">
        <v>52525.950869871573</v>
      </c>
      <c r="C3650" s="19">
        <v>-34.761435749243489</v>
      </c>
      <c r="D3650" s="5">
        <v>102892.80302949165</v>
      </c>
      <c r="E3650" s="6">
        <v>95.889462875978253</v>
      </c>
    </row>
    <row r="3651" spans="1:5" x14ac:dyDescent="0.3">
      <c r="A3651" s="4">
        <v>3648</v>
      </c>
      <c r="B3651" s="5">
        <v>139750.60440664261</v>
      </c>
      <c r="C3651" s="19">
        <v>73.573797973723416</v>
      </c>
      <c r="D3651" s="5">
        <v>272477.32344795449</v>
      </c>
      <c r="E3651" s="6">
        <v>94.973985697483769</v>
      </c>
    </row>
    <row r="3652" spans="1:5" x14ac:dyDescent="0.3">
      <c r="A3652" s="4">
        <v>3649</v>
      </c>
      <c r="B3652" s="5">
        <v>80588.487935487559</v>
      </c>
      <c r="C3652" s="19">
        <v>9.2947599855149735E-2</v>
      </c>
      <c r="D3652" s="5">
        <v>141811.24902738494</v>
      </c>
      <c r="E3652" s="6">
        <v>75.969611367950264</v>
      </c>
    </row>
    <row r="3653" spans="1:5" x14ac:dyDescent="0.3">
      <c r="A3653" s="4">
        <v>3650</v>
      </c>
      <c r="B3653" s="5">
        <v>41349.354482397903</v>
      </c>
      <c r="C3653" s="19">
        <v>-48.643052158918145</v>
      </c>
      <c r="D3653" s="5">
        <v>87883.171358312044</v>
      </c>
      <c r="E3653" s="6">
        <v>112.53819426787719</v>
      </c>
    </row>
    <row r="3654" spans="1:5" x14ac:dyDescent="0.3">
      <c r="A3654" s="4">
        <v>3651</v>
      </c>
      <c r="B3654" s="5">
        <v>106252.27763043653</v>
      </c>
      <c r="C3654" s="19">
        <v>31.968025826990626</v>
      </c>
      <c r="D3654" s="5">
        <v>212026.49762804981</v>
      </c>
      <c r="E3654" s="6">
        <v>99.550073049270523</v>
      </c>
    </row>
    <row r="3655" spans="1:5" x14ac:dyDescent="0.3">
      <c r="A3655" s="4">
        <v>3652</v>
      </c>
      <c r="B3655" s="5">
        <v>94424.168850670379</v>
      </c>
      <c r="C3655" s="19">
        <v>17.277214488697997</v>
      </c>
      <c r="D3655" s="5">
        <v>157206.77342678144</v>
      </c>
      <c r="E3655" s="6">
        <v>66.489973213743909</v>
      </c>
    </row>
    <row r="3656" spans="1:5" x14ac:dyDescent="0.3">
      <c r="A3656" s="4">
        <v>3653</v>
      </c>
      <c r="B3656" s="5">
        <v>57834.114083438937</v>
      </c>
      <c r="C3656" s="19">
        <v>-28.168562300465055</v>
      </c>
      <c r="D3656" s="5">
        <v>123454.06099378111</v>
      </c>
      <c r="E3656" s="6">
        <v>113.46235340558756</v>
      </c>
    </row>
    <row r="3657" spans="1:5" x14ac:dyDescent="0.3">
      <c r="A3657" s="4">
        <v>3654</v>
      </c>
      <c r="B3657" s="5">
        <v>55528.57821340263</v>
      </c>
      <c r="C3657" s="19">
        <v>-31.032096372649953</v>
      </c>
      <c r="D3657" s="5">
        <v>104513.24865088686</v>
      </c>
      <c r="E3657" s="6">
        <v>88.215243417957836</v>
      </c>
    </row>
    <row r="3658" spans="1:5" x14ac:dyDescent="0.3">
      <c r="A3658" s="4">
        <v>3655</v>
      </c>
      <c r="B3658" s="5">
        <v>75465.451827830213</v>
      </c>
      <c r="C3658" s="19">
        <v>-6.2699932842870298</v>
      </c>
      <c r="D3658" s="5">
        <v>132653.21850609791</v>
      </c>
      <c r="E3658" s="6">
        <v>75.780062655343357</v>
      </c>
    </row>
    <row r="3659" spans="1:5" x14ac:dyDescent="0.3">
      <c r="A3659" s="4">
        <v>3656</v>
      </c>
      <c r="B3659" s="5">
        <v>65890.194358315552</v>
      </c>
      <c r="C3659" s="19">
        <v>-18.162706110943866</v>
      </c>
      <c r="D3659" s="5">
        <v>116514.48678858485</v>
      </c>
      <c r="E3659" s="6">
        <v>76.831299290104994</v>
      </c>
    </row>
    <row r="3660" spans="1:5" x14ac:dyDescent="0.3">
      <c r="A3660" s="4">
        <v>3657</v>
      </c>
      <c r="B3660" s="5">
        <v>160146.77401011367</v>
      </c>
      <c r="C3660" s="19">
        <v>98.906358338824859</v>
      </c>
      <c r="D3660" s="5">
        <v>293821.36545807897</v>
      </c>
      <c r="E3660" s="6">
        <v>83.470049443221015</v>
      </c>
    </row>
    <row r="3661" spans="1:5" x14ac:dyDescent="0.3">
      <c r="A3661" s="4">
        <v>3658</v>
      </c>
      <c r="B3661" s="5">
        <v>62435.020002021272</v>
      </c>
      <c r="C3661" s="19">
        <v>-22.454120364426029</v>
      </c>
      <c r="D3661" s="5">
        <v>110239.85474615025</v>
      </c>
      <c r="E3661" s="6">
        <v>76.567341121347184</v>
      </c>
    </row>
    <row r="3662" spans="1:5" x14ac:dyDescent="0.3">
      <c r="A3662" s="4">
        <v>3659</v>
      </c>
      <c r="B3662" s="5">
        <v>57459.244224969916</v>
      </c>
      <c r="C3662" s="19">
        <v>-28.634160180034922</v>
      </c>
      <c r="D3662" s="5">
        <v>97791.020708577693</v>
      </c>
      <c r="E3662" s="6">
        <v>70.191971766452326</v>
      </c>
    </row>
    <row r="3663" spans="1:5" x14ac:dyDescent="0.3">
      <c r="A3663" s="4">
        <v>3660</v>
      </c>
      <c r="B3663" s="5">
        <v>44434.945931694689</v>
      </c>
      <c r="C3663" s="19">
        <v>-44.810669257079105</v>
      </c>
      <c r="D3663" s="5">
        <v>87225.83750052363</v>
      </c>
      <c r="E3663" s="6">
        <v>96.300086950948511</v>
      </c>
    </row>
    <row r="3664" spans="1:5" x14ac:dyDescent="0.3">
      <c r="A3664" s="4">
        <v>3661</v>
      </c>
      <c r="B3664" s="5">
        <v>79923.296269032639</v>
      </c>
      <c r="C3664" s="19">
        <v>-0.73323733449467843</v>
      </c>
      <c r="D3664" s="5">
        <v>138074.06863396082</v>
      </c>
      <c r="E3664" s="6">
        <v>72.7582257983765</v>
      </c>
    </row>
    <row r="3665" spans="1:5" x14ac:dyDescent="0.3">
      <c r="A3665" s="4">
        <v>3662</v>
      </c>
      <c r="B3665" s="5">
        <v>60493.71647875943</v>
      </c>
      <c r="C3665" s="19">
        <v>-24.865268616578508</v>
      </c>
      <c r="D3665" s="5">
        <v>122737.60411266304</v>
      </c>
      <c r="E3665" s="6">
        <v>102.89314536619469</v>
      </c>
    </row>
    <row r="3666" spans="1:5" x14ac:dyDescent="0.3">
      <c r="A3666" s="4">
        <v>3663</v>
      </c>
      <c r="B3666" s="5">
        <v>179312.43517286069</v>
      </c>
      <c r="C3666" s="19">
        <v>122.71059598645371</v>
      </c>
      <c r="D3666" s="5">
        <v>273804.15349614632</v>
      </c>
      <c r="E3666" s="6">
        <v>52.696690127594202</v>
      </c>
    </row>
    <row r="3667" spans="1:5" x14ac:dyDescent="0.3">
      <c r="A3667" s="4">
        <v>3664</v>
      </c>
      <c r="B3667" s="5">
        <v>83581.839991403904</v>
      </c>
      <c r="C3667" s="19">
        <v>3.8107668337958449</v>
      </c>
      <c r="D3667" s="5">
        <v>148438.81063369926</v>
      </c>
      <c r="E3667" s="6">
        <v>77.59696442309199</v>
      </c>
    </row>
    <row r="3668" spans="1:5" x14ac:dyDescent="0.3">
      <c r="A3668" s="4">
        <v>3665</v>
      </c>
      <c r="B3668" s="5">
        <v>47500.228285586534</v>
      </c>
      <c r="C3668" s="19">
        <v>-41.003510767240378</v>
      </c>
      <c r="D3668" s="5">
        <v>99601.6072472753</v>
      </c>
      <c r="E3668" s="6">
        <v>109.6865864484664</v>
      </c>
    </row>
    <row r="3669" spans="1:5" x14ac:dyDescent="0.3">
      <c r="A3669" s="4">
        <v>3666</v>
      </c>
      <c r="B3669" s="5">
        <v>69241.117207462637</v>
      </c>
      <c r="C3669" s="19">
        <v>-14.000774875562794</v>
      </c>
      <c r="D3669" s="5">
        <v>126024.1160662194</v>
      </c>
      <c r="E3669" s="6">
        <v>82.007629496533937</v>
      </c>
    </row>
    <row r="3670" spans="1:5" x14ac:dyDescent="0.3">
      <c r="A3670" s="4">
        <v>3667</v>
      </c>
      <c r="B3670" s="5">
        <v>138241.8465647155</v>
      </c>
      <c r="C3670" s="19">
        <v>71.69988243713</v>
      </c>
      <c r="D3670" s="5">
        <v>241804.50963324425</v>
      </c>
      <c r="E3670" s="6">
        <v>74.914120175650083</v>
      </c>
    </row>
    <row r="3671" spans="1:5" x14ac:dyDescent="0.3">
      <c r="A3671" s="4">
        <v>3668</v>
      </c>
      <c r="B3671" s="5">
        <v>40201.718918786435</v>
      </c>
      <c r="C3671" s="19">
        <v>-50.068444659448097</v>
      </c>
      <c r="D3671" s="5">
        <v>90669.661844530463</v>
      </c>
      <c r="E3671" s="6">
        <v>125.5367787325137</v>
      </c>
    </row>
    <row r="3672" spans="1:5" x14ac:dyDescent="0.3">
      <c r="A3672" s="4">
        <v>3669</v>
      </c>
      <c r="B3672" s="5">
        <v>51383.990187578762</v>
      </c>
      <c r="C3672" s="19">
        <v>-36.179779903129713</v>
      </c>
      <c r="D3672" s="5">
        <v>87969.923817205286</v>
      </c>
      <c r="E3672" s="6">
        <v>71.201036540892417</v>
      </c>
    </row>
    <row r="3673" spans="1:5" x14ac:dyDescent="0.3">
      <c r="A3673" s="4">
        <v>3670</v>
      </c>
      <c r="B3673" s="5">
        <v>85050.573678440313</v>
      </c>
      <c r="C3673" s="19">
        <v>5.6349713540787079</v>
      </c>
      <c r="D3673" s="5">
        <v>156182.28108226147</v>
      </c>
      <c r="E3673" s="6">
        <v>83.634600364668117</v>
      </c>
    </row>
    <row r="3674" spans="1:5" x14ac:dyDescent="0.3">
      <c r="A3674" s="4">
        <v>3671</v>
      </c>
      <c r="B3674" s="5">
        <v>37198.899157656531</v>
      </c>
      <c r="C3674" s="19">
        <v>-53.798023023583553</v>
      </c>
      <c r="D3674" s="5">
        <v>72300.482240404614</v>
      </c>
      <c r="E3674" s="6">
        <v>94.361886716003085</v>
      </c>
    </row>
    <row r="3675" spans="1:5" x14ac:dyDescent="0.3">
      <c r="A3675" s="4">
        <v>3672</v>
      </c>
      <c r="B3675" s="5">
        <v>46447.041311372079</v>
      </c>
      <c r="C3675" s="19">
        <v>-42.311595722343213</v>
      </c>
      <c r="D3675" s="5">
        <v>89278.708769249002</v>
      </c>
      <c r="E3675" s="6">
        <v>92.216137451558254</v>
      </c>
    </row>
    <row r="3676" spans="1:5" x14ac:dyDescent="0.3">
      <c r="A3676" s="4">
        <v>3673</v>
      </c>
      <c r="B3676" s="5">
        <v>43601.936434044896</v>
      </c>
      <c r="C3676" s="19">
        <v>-45.845288197506278</v>
      </c>
      <c r="D3676" s="5">
        <v>85425.214092881128</v>
      </c>
      <c r="E3676" s="6">
        <v>95.920688573317889</v>
      </c>
    </row>
    <row r="3677" spans="1:5" x14ac:dyDescent="0.3">
      <c r="A3677" s="4">
        <v>3674</v>
      </c>
      <c r="B3677" s="5">
        <v>49019.573525717977</v>
      </c>
      <c r="C3677" s="19">
        <v>-39.116445413336422</v>
      </c>
      <c r="D3677" s="5">
        <v>103134.65697776189</v>
      </c>
      <c r="E3677" s="6">
        <v>110.39484752688146</v>
      </c>
    </row>
    <row r="3678" spans="1:5" x14ac:dyDescent="0.3">
      <c r="A3678" s="4">
        <v>3675</v>
      </c>
      <c r="B3678" s="5">
        <v>38841.101678138788</v>
      </c>
      <c r="C3678" s="19">
        <v>-51.758365808987797</v>
      </c>
      <c r="D3678" s="5">
        <v>73896.160224953899</v>
      </c>
      <c r="E3678" s="6">
        <v>90.252482633738978</v>
      </c>
    </row>
    <row r="3679" spans="1:5" x14ac:dyDescent="0.3">
      <c r="A3679" s="4">
        <v>3676</v>
      </c>
      <c r="B3679" s="5">
        <v>112059.63940500056</v>
      </c>
      <c r="C3679" s="19">
        <v>39.180916559723585</v>
      </c>
      <c r="D3679" s="5">
        <v>166908.05767924196</v>
      </c>
      <c r="E3679" s="6">
        <v>48.945738684747042</v>
      </c>
    </row>
    <row r="3680" spans="1:5" x14ac:dyDescent="0.3">
      <c r="A3680" s="4">
        <v>3677</v>
      </c>
      <c r="B3680" s="5">
        <v>69347.336408909381</v>
      </c>
      <c r="C3680" s="19">
        <v>-13.868847931195525</v>
      </c>
      <c r="D3680" s="5">
        <v>121819.2113331708</v>
      </c>
      <c r="E3680" s="6">
        <v>75.665306905024991</v>
      </c>
    </row>
    <row r="3681" spans="1:5" x14ac:dyDescent="0.3">
      <c r="A3681" s="4">
        <v>3678</v>
      </c>
      <c r="B3681" s="5">
        <v>70174.166201436004</v>
      </c>
      <c r="C3681" s="19">
        <v>-12.841904341391269</v>
      </c>
      <c r="D3681" s="5">
        <v>143065.29769142423</v>
      </c>
      <c r="E3681" s="6">
        <v>103.87174573724629</v>
      </c>
    </row>
    <row r="3682" spans="1:5" x14ac:dyDescent="0.3">
      <c r="A3682" s="4">
        <v>3679</v>
      </c>
      <c r="B3682" s="5">
        <v>41059.884548009875</v>
      </c>
      <c r="C3682" s="19">
        <v>-49.002581165066374</v>
      </c>
      <c r="D3682" s="5">
        <v>86153.977336432101</v>
      </c>
      <c r="E3682" s="6">
        <v>109.82518164583558</v>
      </c>
    </row>
    <row r="3683" spans="1:5" x14ac:dyDescent="0.3">
      <c r="A3683" s="4">
        <v>3680</v>
      </c>
      <c r="B3683" s="5">
        <v>73191.266871216343</v>
      </c>
      <c r="C3683" s="19">
        <v>-9.0945887262185447</v>
      </c>
      <c r="D3683" s="5">
        <v>148015.7470777354</v>
      </c>
      <c r="E3683" s="6">
        <v>102.23143197968747</v>
      </c>
    </row>
    <row r="3684" spans="1:5" x14ac:dyDescent="0.3">
      <c r="A3684" s="4">
        <v>3681</v>
      </c>
      <c r="B3684" s="5">
        <v>64580.421913130784</v>
      </c>
      <c r="C3684" s="19">
        <v>-19.789476733921184</v>
      </c>
      <c r="D3684" s="5">
        <v>116412.99887825765</v>
      </c>
      <c r="E3684" s="6">
        <v>80.260511513610965</v>
      </c>
    </row>
    <row r="3685" spans="1:5" x14ac:dyDescent="0.3">
      <c r="A3685" s="4">
        <v>3682</v>
      </c>
      <c r="B3685" s="5">
        <v>92361.002995446877</v>
      </c>
      <c r="C3685" s="19">
        <v>14.714710127007901</v>
      </c>
      <c r="D3685" s="5">
        <v>189669.38381163217</v>
      </c>
      <c r="E3685" s="6">
        <v>105.35656571527521</v>
      </c>
    </row>
    <row r="3686" spans="1:5" x14ac:dyDescent="0.3">
      <c r="A3686" s="4">
        <v>3683</v>
      </c>
      <c r="B3686" s="5">
        <v>80208.158731616495</v>
      </c>
      <c r="C3686" s="19">
        <v>-0.37943092527905242</v>
      </c>
      <c r="D3686" s="5">
        <v>160169.25678215662</v>
      </c>
      <c r="E3686" s="6">
        <v>99.691975623199312</v>
      </c>
    </row>
    <row r="3687" spans="1:5" x14ac:dyDescent="0.3">
      <c r="A3687" s="4">
        <v>3684</v>
      </c>
      <c r="B3687" s="5">
        <v>79050.249358630172</v>
      </c>
      <c r="C3687" s="19">
        <v>-1.8175837578334981</v>
      </c>
      <c r="D3687" s="5">
        <v>132415.99096507279</v>
      </c>
      <c r="E3687" s="6">
        <v>67.508631584874962</v>
      </c>
    </row>
    <row r="3688" spans="1:5" x14ac:dyDescent="0.3">
      <c r="A3688" s="4">
        <v>3685</v>
      </c>
      <c r="B3688" s="5">
        <v>69837.214645781482</v>
      </c>
      <c r="C3688" s="19">
        <v>-13.260406726382243</v>
      </c>
      <c r="D3688" s="5">
        <v>146867.50960186237</v>
      </c>
      <c r="E3688" s="6">
        <v>110.29978120803234</v>
      </c>
    </row>
    <row r="3689" spans="1:5" x14ac:dyDescent="0.3">
      <c r="A3689" s="4">
        <v>3686</v>
      </c>
      <c r="B3689" s="5">
        <v>36921.908806789208</v>
      </c>
      <c r="C3689" s="19">
        <v>-54.142052070228807</v>
      </c>
      <c r="D3689" s="5">
        <v>75808.552920168775</v>
      </c>
      <c r="E3689" s="6">
        <v>105.32132647006887</v>
      </c>
    </row>
    <row r="3690" spans="1:5" x14ac:dyDescent="0.3">
      <c r="A3690" s="4">
        <v>3687</v>
      </c>
      <c r="B3690" s="5">
        <v>138163.11445327644</v>
      </c>
      <c r="C3690" s="19">
        <v>71.602095156259281</v>
      </c>
      <c r="D3690" s="5">
        <v>250259.84375374616</v>
      </c>
      <c r="E3690" s="6">
        <v>81.133614962319214</v>
      </c>
    </row>
    <row r="3691" spans="1:5" x14ac:dyDescent="0.3">
      <c r="A3691" s="4">
        <v>3688</v>
      </c>
      <c r="B3691" s="5">
        <v>129980.61469958552</v>
      </c>
      <c r="C3691" s="19">
        <v>61.439222765135071</v>
      </c>
      <c r="D3691" s="5">
        <v>244843.39078511987</v>
      </c>
      <c r="E3691" s="6">
        <v>88.369159009601631</v>
      </c>
    </row>
    <row r="3692" spans="1:5" x14ac:dyDescent="0.3">
      <c r="A3692" s="4">
        <v>3689</v>
      </c>
      <c r="B3692" s="5">
        <v>121466.8769561072</v>
      </c>
      <c r="C3692" s="19">
        <v>50.864944382854738</v>
      </c>
      <c r="D3692" s="5">
        <v>210316.24978848328</v>
      </c>
      <c r="E3692" s="6">
        <v>73.146996991189923</v>
      </c>
    </row>
    <row r="3693" spans="1:5" x14ac:dyDescent="0.3">
      <c r="A3693" s="4">
        <v>3690</v>
      </c>
      <c r="B3693" s="5">
        <v>112461.84807092989</v>
      </c>
      <c r="C3693" s="19">
        <v>39.68046993210227</v>
      </c>
      <c r="D3693" s="5">
        <v>230994.41797896815</v>
      </c>
      <c r="E3693" s="6">
        <v>105.39802781231155</v>
      </c>
    </row>
    <row r="3694" spans="1:5" x14ac:dyDescent="0.3">
      <c r="A3694" s="4">
        <v>3691</v>
      </c>
      <c r="B3694" s="5">
        <v>70439.357176452497</v>
      </c>
      <c r="C3694" s="19">
        <v>-12.512530419057239</v>
      </c>
      <c r="D3694" s="5">
        <v>142714.62639656887</v>
      </c>
      <c r="E3694" s="6">
        <v>102.6063725128338</v>
      </c>
    </row>
    <row r="3695" spans="1:5" x14ac:dyDescent="0.3">
      <c r="A3695" s="4">
        <v>3692</v>
      </c>
      <c r="B3695" s="5">
        <v>83925.661213049956</v>
      </c>
      <c r="C3695" s="19">
        <v>4.2378015183215751</v>
      </c>
      <c r="D3695" s="5">
        <v>166467.90123201441</v>
      </c>
      <c r="E3695" s="6">
        <v>98.35161120676355</v>
      </c>
    </row>
    <row r="3696" spans="1:5" x14ac:dyDescent="0.3">
      <c r="A3696" s="4">
        <v>3693</v>
      </c>
      <c r="B3696" s="5">
        <v>64796.311917711893</v>
      </c>
      <c r="C3696" s="19">
        <v>-19.521335868278342</v>
      </c>
      <c r="D3696" s="5">
        <v>117896.17474484633</v>
      </c>
      <c r="E3696" s="6">
        <v>81.948896867106626</v>
      </c>
    </row>
    <row r="3697" spans="1:5" x14ac:dyDescent="0.3">
      <c r="A3697" s="4">
        <v>3694</v>
      </c>
      <c r="B3697" s="5">
        <v>62689.405986331003</v>
      </c>
      <c r="C3697" s="19">
        <v>-22.138166514813733</v>
      </c>
      <c r="D3697" s="5">
        <v>112587.53694835296</v>
      </c>
      <c r="E3697" s="6">
        <v>79.59579481882777</v>
      </c>
    </row>
    <row r="3698" spans="1:5" x14ac:dyDescent="0.3">
      <c r="A3698" s="4">
        <v>3695</v>
      </c>
      <c r="B3698" s="5">
        <v>67954.478945377457</v>
      </c>
      <c r="C3698" s="19">
        <v>-15.598812255913618</v>
      </c>
      <c r="D3698" s="5">
        <v>142288.1045386054</v>
      </c>
      <c r="E3698" s="6">
        <v>109.38738218120709</v>
      </c>
    </row>
    <row r="3699" spans="1:5" x14ac:dyDescent="0.3">
      <c r="A3699" s="4">
        <v>3696</v>
      </c>
      <c r="B3699" s="5">
        <v>108456.59852340553</v>
      </c>
      <c r="C3699" s="19">
        <v>34.705848328510143</v>
      </c>
      <c r="D3699" s="5">
        <v>175844.75017607145</v>
      </c>
      <c r="E3699" s="6">
        <v>62.133749877950663</v>
      </c>
    </row>
    <row r="3700" spans="1:5" x14ac:dyDescent="0.3">
      <c r="A3700" s="4">
        <v>3697</v>
      </c>
      <c r="B3700" s="5">
        <v>53108.572091468362</v>
      </c>
      <c r="C3700" s="19">
        <v>-34.0378054032996</v>
      </c>
      <c r="D3700" s="5">
        <v>93926.67081725091</v>
      </c>
      <c r="E3700" s="6">
        <v>76.857835031757105</v>
      </c>
    </row>
    <row r="3701" spans="1:5" x14ac:dyDescent="0.3">
      <c r="A3701" s="4">
        <v>3698</v>
      </c>
      <c r="B3701" s="5">
        <v>75478.531166334811</v>
      </c>
      <c r="C3701" s="19">
        <v>-6.2537484138704329</v>
      </c>
      <c r="D3701" s="5">
        <v>153117.61993884676</v>
      </c>
      <c r="E3701" s="6">
        <v>102.86247966513264</v>
      </c>
    </row>
    <row r="3702" spans="1:5" x14ac:dyDescent="0.3">
      <c r="A3702" s="4">
        <v>3699</v>
      </c>
      <c r="B3702" s="5">
        <v>112367.15560575828</v>
      </c>
      <c r="C3702" s="19">
        <v>39.562859486772773</v>
      </c>
      <c r="D3702" s="5">
        <v>188315.53261228319</v>
      </c>
      <c r="E3702" s="6">
        <v>67.589480749153111</v>
      </c>
    </row>
    <row r="3703" spans="1:5" x14ac:dyDescent="0.3">
      <c r="A3703" s="4">
        <v>3700</v>
      </c>
      <c r="B3703" s="5">
        <v>38454.008663886627</v>
      </c>
      <c r="C3703" s="19">
        <v>-52.239145158301646</v>
      </c>
      <c r="D3703" s="5">
        <v>71103.699504085511</v>
      </c>
      <c r="E3703" s="6">
        <v>84.905818598988461</v>
      </c>
    </row>
    <row r="3704" spans="1:5" x14ac:dyDescent="0.3">
      <c r="A3704" s="4">
        <v>3701</v>
      </c>
      <c r="B3704" s="5">
        <v>47834.392957730088</v>
      </c>
      <c r="C3704" s="19">
        <v>-40.588469762309714</v>
      </c>
      <c r="D3704" s="5">
        <v>81376.086468116569</v>
      </c>
      <c r="E3704" s="6">
        <v>70.120454000589774</v>
      </c>
    </row>
    <row r="3705" spans="1:5" x14ac:dyDescent="0.3">
      <c r="A3705" s="4">
        <v>3702</v>
      </c>
      <c r="B3705" s="5">
        <v>58633.868979021638</v>
      </c>
      <c r="C3705" s="19">
        <v>-27.17524641990941</v>
      </c>
      <c r="D3705" s="5">
        <v>118749.86436550511</v>
      </c>
      <c r="E3705" s="6">
        <v>102.52776498169023</v>
      </c>
    </row>
    <row r="3706" spans="1:5" x14ac:dyDescent="0.3">
      <c r="A3706" s="4">
        <v>3703</v>
      </c>
      <c r="B3706" s="5">
        <v>208277.57610537481</v>
      </c>
      <c r="C3706" s="19">
        <v>158.68603624910534</v>
      </c>
      <c r="D3706" s="5">
        <v>387089.35873103386</v>
      </c>
      <c r="E3706" s="6">
        <v>85.852632803443029</v>
      </c>
    </row>
    <row r="3707" spans="1:5" x14ac:dyDescent="0.3">
      <c r="A3707" s="4">
        <v>3704</v>
      </c>
      <c r="B3707" s="5">
        <v>51626.665604388647</v>
      </c>
      <c r="C3707" s="19">
        <v>-35.878370875602485</v>
      </c>
      <c r="D3707" s="5">
        <v>101003.62302118113</v>
      </c>
      <c r="E3707" s="6">
        <v>95.642352336221919</v>
      </c>
    </row>
    <row r="3708" spans="1:5" x14ac:dyDescent="0.3">
      <c r="A3708" s="4">
        <v>3705</v>
      </c>
      <c r="B3708" s="5">
        <v>63041.798328584351</v>
      </c>
      <c r="C3708" s="19">
        <v>-21.700486280932306</v>
      </c>
      <c r="D3708" s="5">
        <v>127584.04069791865</v>
      </c>
      <c r="E3708" s="6">
        <v>102.38007810774906</v>
      </c>
    </row>
    <row r="3709" spans="1:5" x14ac:dyDescent="0.3">
      <c r="A3709" s="4">
        <v>3706</v>
      </c>
      <c r="B3709" s="5">
        <v>43881.770348165446</v>
      </c>
      <c r="C3709" s="19">
        <v>-45.497727373122125</v>
      </c>
      <c r="D3709" s="5">
        <v>75894.023899577471</v>
      </c>
      <c r="E3709" s="6">
        <v>72.951144170851236</v>
      </c>
    </row>
    <row r="3710" spans="1:5" x14ac:dyDescent="0.3">
      <c r="A3710" s="4">
        <v>3707</v>
      </c>
      <c r="B3710" s="5">
        <v>124471.78865786028</v>
      </c>
      <c r="C3710" s="19">
        <v>54.59712099034406</v>
      </c>
      <c r="D3710" s="5">
        <v>236322.33935840847</v>
      </c>
      <c r="E3710" s="6">
        <v>89.860161813851249</v>
      </c>
    </row>
    <row r="3711" spans="1:5" x14ac:dyDescent="0.3">
      <c r="A3711" s="4">
        <v>3708</v>
      </c>
      <c r="B3711" s="5">
        <v>44478.16576212673</v>
      </c>
      <c r="C3711" s="19">
        <v>-44.756989130630124</v>
      </c>
      <c r="D3711" s="5">
        <v>86501.57662285064</v>
      </c>
      <c r="E3711" s="6">
        <v>94.480988909185086</v>
      </c>
    </row>
    <row r="3712" spans="1:5" x14ac:dyDescent="0.3">
      <c r="A3712" s="4">
        <v>3709</v>
      </c>
      <c r="B3712" s="5">
        <v>57171.499696474253</v>
      </c>
      <c r="C3712" s="19">
        <v>-28.991546188268718</v>
      </c>
      <c r="D3712" s="5">
        <v>109112.54899119334</v>
      </c>
      <c r="E3712" s="6">
        <v>90.851297535443649</v>
      </c>
    </row>
    <row r="3713" spans="1:5" x14ac:dyDescent="0.3">
      <c r="A3713" s="4">
        <v>3710</v>
      </c>
      <c r="B3713" s="5">
        <v>47903.609448063675</v>
      </c>
      <c r="C3713" s="19">
        <v>-40.502501124387734</v>
      </c>
      <c r="D3713" s="5">
        <v>87937.112499905095</v>
      </c>
      <c r="E3713" s="6">
        <v>83.570953239432001</v>
      </c>
    </row>
    <row r="3714" spans="1:5" x14ac:dyDescent="0.3">
      <c r="A3714" s="4">
        <v>3711</v>
      </c>
      <c r="B3714" s="5">
        <v>58318.612293550774</v>
      </c>
      <c r="C3714" s="19">
        <v>-27.566803225449664</v>
      </c>
      <c r="D3714" s="5">
        <v>115417.90164630355</v>
      </c>
      <c r="E3714" s="6">
        <v>97.909204466902523</v>
      </c>
    </row>
    <row r="3715" spans="1:5" x14ac:dyDescent="0.3">
      <c r="A3715" s="4">
        <v>3712</v>
      </c>
      <c r="B3715" s="5">
        <v>76335.25999459521</v>
      </c>
      <c r="C3715" s="19">
        <v>-5.1896694627552353</v>
      </c>
      <c r="D3715" s="5">
        <v>137615.78406195471</v>
      </c>
      <c r="E3715" s="6">
        <v>80.278136305160103</v>
      </c>
    </row>
    <row r="3716" spans="1:5" x14ac:dyDescent="0.3">
      <c r="A3716" s="4">
        <v>3713</v>
      </c>
      <c r="B3716" s="5">
        <v>63138.328785603197</v>
      </c>
      <c r="C3716" s="19">
        <v>-21.580593003074654</v>
      </c>
      <c r="D3716" s="5">
        <v>114106.33399466897</v>
      </c>
      <c r="E3716" s="6">
        <v>80.724349518556622</v>
      </c>
    </row>
    <row r="3717" spans="1:5" x14ac:dyDescent="0.3">
      <c r="A3717" s="4">
        <v>3714</v>
      </c>
      <c r="B3717" s="5">
        <v>33188.147283090853</v>
      </c>
      <c r="C3717" s="19">
        <v>-58.779478657026999</v>
      </c>
      <c r="D3717" s="5">
        <v>57945.157403598139</v>
      </c>
      <c r="E3717" s="6">
        <v>74.595939054184029</v>
      </c>
    </row>
    <row r="3718" spans="1:5" x14ac:dyDescent="0.3">
      <c r="A3718" s="4">
        <v>3715</v>
      </c>
      <c r="B3718" s="5">
        <v>58710.13627606196</v>
      </c>
      <c r="C3718" s="19">
        <v>-27.080520501086479</v>
      </c>
      <c r="D3718" s="5">
        <v>119242.51643960227</v>
      </c>
      <c r="E3718" s="6">
        <v>103.10379774781981</v>
      </c>
    </row>
    <row r="3719" spans="1:5" x14ac:dyDescent="0.3">
      <c r="A3719" s="4">
        <v>3716</v>
      </c>
      <c r="B3719" s="5">
        <v>101213.15834502233</v>
      </c>
      <c r="C3719" s="19">
        <v>25.709311766141784</v>
      </c>
      <c r="D3719" s="5">
        <v>176409.14573320426</v>
      </c>
      <c r="E3719" s="6">
        <v>74.294675334454752</v>
      </c>
    </row>
    <row r="3720" spans="1:5" x14ac:dyDescent="0.3">
      <c r="A3720" s="4">
        <v>3717</v>
      </c>
      <c r="B3720" s="5">
        <v>74852.728111772711</v>
      </c>
      <c r="C3720" s="19">
        <v>-7.0310116924451203</v>
      </c>
      <c r="D3720" s="5">
        <v>142745.70444343294</v>
      </c>
      <c r="E3720" s="6">
        <v>90.702073316927169</v>
      </c>
    </row>
    <row r="3721" spans="1:5" x14ac:dyDescent="0.3">
      <c r="A3721" s="4">
        <v>3718</v>
      </c>
      <c r="B3721" s="5">
        <v>82732.523717207048</v>
      </c>
      <c r="C3721" s="19">
        <v>2.7558944629810158</v>
      </c>
      <c r="D3721" s="5">
        <v>152620.78595903557</v>
      </c>
      <c r="E3721" s="6">
        <v>84.474955074158913</v>
      </c>
    </row>
    <row r="3722" spans="1:5" x14ac:dyDescent="0.3">
      <c r="A3722" s="4">
        <v>3719</v>
      </c>
      <c r="B3722" s="5">
        <v>39860.578951408657</v>
      </c>
      <c r="C3722" s="19">
        <v>-50.492149158114138</v>
      </c>
      <c r="D3722" s="5">
        <v>75460.232998871797</v>
      </c>
      <c r="E3722" s="6">
        <v>89.310428960051681</v>
      </c>
    </row>
    <row r="3723" spans="1:5" x14ac:dyDescent="0.3">
      <c r="A3723" s="4">
        <v>3720</v>
      </c>
      <c r="B3723" s="5">
        <v>170216.9627336773</v>
      </c>
      <c r="C3723" s="19">
        <v>111.41378834588977</v>
      </c>
      <c r="D3723" s="5">
        <v>306058.47997974372</v>
      </c>
      <c r="E3723" s="6">
        <v>79.804923707048545</v>
      </c>
    </row>
    <row r="3724" spans="1:5" x14ac:dyDescent="0.3">
      <c r="A3724" s="4">
        <v>3721</v>
      </c>
      <c r="B3724" s="5">
        <v>63165.441566093628</v>
      </c>
      <c r="C3724" s="19">
        <v>-21.546918241499682</v>
      </c>
      <c r="D3724" s="5">
        <v>115314.07115526542</v>
      </c>
      <c r="E3724" s="6">
        <v>82.558798444566705</v>
      </c>
    </row>
    <row r="3725" spans="1:5" x14ac:dyDescent="0.3">
      <c r="A3725" s="4">
        <v>3722</v>
      </c>
      <c r="B3725" s="5">
        <v>35748.487841747381</v>
      </c>
      <c r="C3725" s="19">
        <v>-55.599470693848161</v>
      </c>
      <c r="D3725" s="5">
        <v>71038.240274915355</v>
      </c>
      <c r="E3725" s="6">
        <v>98.716769753702167</v>
      </c>
    </row>
    <row r="3726" spans="1:5" x14ac:dyDescent="0.3">
      <c r="A3726" s="4">
        <v>3723</v>
      </c>
      <c r="B3726" s="5">
        <v>120429.23450044439</v>
      </c>
      <c r="C3726" s="19">
        <v>49.576166114360802</v>
      </c>
      <c r="D3726" s="5">
        <v>199490.72717674726</v>
      </c>
      <c r="E3726" s="6">
        <v>65.649751079345378</v>
      </c>
    </row>
    <row r="3727" spans="1:5" x14ac:dyDescent="0.3">
      <c r="A3727" s="4">
        <v>3724</v>
      </c>
      <c r="B3727" s="5">
        <v>50323.273349763927</v>
      </c>
      <c r="C3727" s="19">
        <v>-37.497217139955339</v>
      </c>
      <c r="D3727" s="5">
        <v>90748.616832453888</v>
      </c>
      <c r="E3727" s="6">
        <v>80.331307547742426</v>
      </c>
    </row>
    <row r="3728" spans="1:5" x14ac:dyDescent="0.3">
      <c r="A3728" s="4">
        <v>3725</v>
      </c>
      <c r="B3728" s="5">
        <v>41466.194867265731</v>
      </c>
      <c r="C3728" s="19">
        <v>-48.497933435143551</v>
      </c>
      <c r="D3728" s="5">
        <v>81161.529102811051</v>
      </c>
      <c r="E3728" s="6">
        <v>95.729387185419412</v>
      </c>
    </row>
    <row r="3729" spans="1:5" x14ac:dyDescent="0.3">
      <c r="A3729" s="4">
        <v>3726</v>
      </c>
      <c r="B3729" s="5">
        <v>37522.44920142628</v>
      </c>
      <c r="C3729" s="19">
        <v>-53.396165656525106</v>
      </c>
      <c r="D3729" s="5">
        <v>62128.624285127997</v>
      </c>
      <c r="E3729" s="6">
        <v>65.577209396998541</v>
      </c>
    </row>
    <row r="3730" spans="1:5" x14ac:dyDescent="0.3">
      <c r="A3730" s="4">
        <v>3727</v>
      </c>
      <c r="B3730" s="5">
        <v>59064.712048117945</v>
      </c>
      <c r="C3730" s="19">
        <v>-26.640128391968009</v>
      </c>
      <c r="D3730" s="5">
        <v>114694.46556994507</v>
      </c>
      <c r="E3730" s="6">
        <v>94.184415013328973</v>
      </c>
    </row>
    <row r="3731" spans="1:5" x14ac:dyDescent="0.3">
      <c r="A3731" s="4">
        <v>3728</v>
      </c>
      <c r="B3731" s="5">
        <v>50133.43984899496</v>
      </c>
      <c r="C3731" s="19">
        <v>-37.732995166469195</v>
      </c>
      <c r="D3731" s="5">
        <v>97295.913058402803</v>
      </c>
      <c r="E3731" s="6">
        <v>94.073882325777262</v>
      </c>
    </row>
    <row r="3732" spans="1:5" x14ac:dyDescent="0.3">
      <c r="A3732" s="4">
        <v>3729</v>
      </c>
      <c r="B3732" s="5">
        <v>58878.264512324269</v>
      </c>
      <c r="C3732" s="19">
        <v>-26.871700964036339</v>
      </c>
      <c r="D3732" s="5">
        <v>109290.16491035178</v>
      </c>
      <c r="E3732" s="6">
        <v>85.620561026345143</v>
      </c>
    </row>
    <row r="3733" spans="1:5" x14ac:dyDescent="0.3">
      <c r="A3733" s="4">
        <v>3730</v>
      </c>
      <c r="B3733" s="5">
        <v>66679.831044565086</v>
      </c>
      <c r="C3733" s="19">
        <v>-17.181957303211323</v>
      </c>
      <c r="D3733" s="5">
        <v>113671.65214594077</v>
      </c>
      <c r="E3733" s="6">
        <v>70.473815492977124</v>
      </c>
    </row>
    <row r="3734" spans="1:5" x14ac:dyDescent="0.3">
      <c r="A3734" s="4">
        <v>3731</v>
      </c>
      <c r="B3734" s="5">
        <v>64710.405478010412</v>
      </c>
      <c r="C3734" s="19">
        <v>-19.628033846957553</v>
      </c>
      <c r="D3734" s="5">
        <v>118365.15255170217</v>
      </c>
      <c r="E3734" s="6">
        <v>82.915176743753307</v>
      </c>
    </row>
    <row r="3735" spans="1:5" x14ac:dyDescent="0.3">
      <c r="A3735" s="4">
        <v>3732</v>
      </c>
      <c r="B3735" s="5">
        <v>44123.424610559545</v>
      </c>
      <c r="C3735" s="19">
        <v>-45.197586645299346</v>
      </c>
      <c r="D3735" s="5">
        <v>70879.669054418991</v>
      </c>
      <c r="E3735" s="6">
        <v>60.639546182134254</v>
      </c>
    </row>
    <row r="3736" spans="1:5" x14ac:dyDescent="0.3">
      <c r="A3736" s="4">
        <v>3733</v>
      </c>
      <c r="B3736" s="5">
        <v>55177.070790002617</v>
      </c>
      <c r="C3736" s="19">
        <v>-31.468677514853571</v>
      </c>
      <c r="D3736" s="5">
        <v>103700.19742557962</v>
      </c>
      <c r="E3736" s="6">
        <v>87.940744118603661</v>
      </c>
    </row>
    <row r="3737" spans="1:5" x14ac:dyDescent="0.3">
      <c r="A3737" s="4">
        <v>3734</v>
      </c>
      <c r="B3737" s="5">
        <v>54348.780347120155</v>
      </c>
      <c r="C3737" s="19">
        <v>-32.497435269475581</v>
      </c>
      <c r="D3737" s="5">
        <v>94473.380701292655</v>
      </c>
      <c r="E3737" s="6">
        <v>73.827968351636855</v>
      </c>
    </row>
    <row r="3738" spans="1:5" x14ac:dyDescent="0.3">
      <c r="A3738" s="4">
        <v>3735</v>
      </c>
      <c r="B3738" s="5">
        <v>72960.250564324815</v>
      </c>
      <c r="C3738" s="19">
        <v>-9.3815168432830589</v>
      </c>
      <c r="D3738" s="5">
        <v>127287.33037332403</v>
      </c>
      <c r="E3738" s="6">
        <v>74.461202351686268</v>
      </c>
    </row>
    <row r="3739" spans="1:5" x14ac:dyDescent="0.3">
      <c r="A3739" s="4">
        <v>3736</v>
      </c>
      <c r="B3739" s="5">
        <v>50031.452255026794</v>
      </c>
      <c r="C3739" s="19">
        <v>-37.859666346936841</v>
      </c>
      <c r="D3739" s="5">
        <v>93217.780386350962</v>
      </c>
      <c r="E3739" s="6">
        <v>86.318358122385149</v>
      </c>
    </row>
    <row r="3740" spans="1:5" x14ac:dyDescent="0.3">
      <c r="A3740" s="4">
        <v>3737</v>
      </c>
      <c r="B3740" s="5">
        <v>106026.24475924368</v>
      </c>
      <c r="C3740" s="19">
        <v>31.687287263558815</v>
      </c>
      <c r="D3740" s="5">
        <v>184890.54698549295</v>
      </c>
      <c r="E3740" s="6">
        <v>74.381868758370459</v>
      </c>
    </row>
    <row r="3741" spans="1:5" x14ac:dyDescent="0.3">
      <c r="A3741" s="4">
        <v>3738</v>
      </c>
      <c r="B3741" s="5">
        <v>127728.43986905011</v>
      </c>
      <c r="C3741" s="19">
        <v>58.641964458477766</v>
      </c>
      <c r="D3741" s="5">
        <v>258622.77165457225</v>
      </c>
      <c r="E3741" s="6">
        <v>102.4786115916845</v>
      </c>
    </row>
    <row r="3742" spans="1:5" x14ac:dyDescent="0.3">
      <c r="A3742" s="4">
        <v>3739</v>
      </c>
      <c r="B3742" s="5">
        <v>41141.442930614343</v>
      </c>
      <c r="C3742" s="19">
        <v>-48.901283583668729</v>
      </c>
      <c r="D3742" s="5">
        <v>70438.08183437465</v>
      </c>
      <c r="E3742" s="6">
        <v>71.209556147968669</v>
      </c>
    </row>
    <row r="3743" spans="1:5" x14ac:dyDescent="0.3">
      <c r="A3743" s="4">
        <v>3740</v>
      </c>
      <c r="B3743" s="5">
        <v>118600.29018462118</v>
      </c>
      <c r="C3743" s="19">
        <v>47.304570849869769</v>
      </c>
      <c r="D3743" s="5">
        <v>188569.10528475526</v>
      </c>
      <c r="E3743" s="6">
        <v>58.995483899083155</v>
      </c>
    </row>
    <row r="3744" spans="1:5" x14ac:dyDescent="0.3">
      <c r="A3744" s="4">
        <v>3741</v>
      </c>
      <c r="B3744" s="5">
        <v>52974.005925235113</v>
      </c>
      <c r="C3744" s="19">
        <v>-34.204939997464969</v>
      </c>
      <c r="D3744" s="5">
        <v>77173.471871027446</v>
      </c>
      <c r="E3744" s="6">
        <v>45.681774529089338</v>
      </c>
    </row>
    <row r="3745" spans="1:5" x14ac:dyDescent="0.3">
      <c r="A3745" s="4">
        <v>3742</v>
      </c>
      <c r="B3745" s="5">
        <v>111000.92941235032</v>
      </c>
      <c r="C3745" s="19">
        <v>37.865971875532288</v>
      </c>
      <c r="D3745" s="5">
        <v>195806.61054270712</v>
      </c>
      <c r="E3745" s="6">
        <v>76.400874820892312</v>
      </c>
    </row>
    <row r="3746" spans="1:5" x14ac:dyDescent="0.3">
      <c r="A3746" s="4">
        <v>3743</v>
      </c>
      <c r="B3746" s="5">
        <v>44577.397074099041</v>
      </c>
      <c r="C3746" s="19">
        <v>-44.633741322364259</v>
      </c>
      <c r="D3746" s="5">
        <v>92078.530559061765</v>
      </c>
      <c r="E3746" s="6">
        <v>106.55878674567671</v>
      </c>
    </row>
    <row r="3747" spans="1:5" x14ac:dyDescent="0.3">
      <c r="A3747" s="4">
        <v>3744</v>
      </c>
      <c r="B3747" s="5">
        <v>144549.51848182167</v>
      </c>
      <c r="C3747" s="19">
        <v>79.534171066312311</v>
      </c>
      <c r="D3747" s="5">
        <v>236904.44210348354</v>
      </c>
      <c r="E3747" s="6">
        <v>63.89154705712582</v>
      </c>
    </row>
    <row r="3748" spans="1:5" x14ac:dyDescent="0.3">
      <c r="A3748" s="4">
        <v>3745</v>
      </c>
      <c r="B3748" s="5">
        <v>141949.49065827328</v>
      </c>
      <c r="C3748" s="19">
        <v>76.3048705127528</v>
      </c>
      <c r="D3748" s="5">
        <v>246721.41999490003</v>
      </c>
      <c r="E3748" s="6">
        <v>73.809302767315216</v>
      </c>
    </row>
    <row r="3749" spans="1:5" x14ac:dyDescent="0.3">
      <c r="A3749" s="4">
        <v>3746</v>
      </c>
      <c r="B3749" s="5">
        <v>101988.50951638049</v>
      </c>
      <c r="C3749" s="19">
        <v>26.672317601768896</v>
      </c>
      <c r="D3749" s="5">
        <v>163656.96911590584</v>
      </c>
      <c r="E3749" s="6">
        <v>60.466085730589782</v>
      </c>
    </row>
    <row r="3750" spans="1:5" x14ac:dyDescent="0.3">
      <c r="A3750" s="4">
        <v>3747</v>
      </c>
      <c r="B3750" s="5">
        <v>38263.148814747219</v>
      </c>
      <c r="C3750" s="19">
        <v>-52.476197935543482</v>
      </c>
      <c r="D3750" s="5">
        <v>75466.075834889154</v>
      </c>
      <c r="E3750" s="6">
        <v>97.229130828363353</v>
      </c>
    </row>
    <row r="3751" spans="1:5" x14ac:dyDescent="0.3">
      <c r="A3751" s="4">
        <v>3748</v>
      </c>
      <c r="B3751" s="5">
        <v>106500.40304874253</v>
      </c>
      <c r="C3751" s="19">
        <v>32.276203894713859</v>
      </c>
      <c r="D3751" s="5">
        <v>204362.42625663272</v>
      </c>
      <c r="E3751" s="6">
        <v>91.888875916367397</v>
      </c>
    </row>
    <row r="3752" spans="1:5" x14ac:dyDescent="0.3">
      <c r="A3752" s="4">
        <v>3749</v>
      </c>
      <c r="B3752" s="5">
        <v>83361.563959126725</v>
      </c>
      <c r="C3752" s="19">
        <v>3.5371784104235942</v>
      </c>
      <c r="D3752" s="5">
        <v>149816.06996536948</v>
      </c>
      <c r="E3752" s="6">
        <v>79.718401203252711</v>
      </c>
    </row>
    <row r="3753" spans="1:5" x14ac:dyDescent="0.3">
      <c r="A3753" s="4">
        <v>3750</v>
      </c>
      <c r="B3753" s="5">
        <v>42418.831201853318</v>
      </c>
      <c r="C3753" s="19">
        <v>-47.314734926742148</v>
      </c>
      <c r="D3753" s="5">
        <v>77522.305333285462</v>
      </c>
      <c r="E3753" s="6">
        <v>82.754458661035528</v>
      </c>
    </row>
    <row r="3754" spans="1:5" x14ac:dyDescent="0.3">
      <c r="A3754" s="4">
        <v>3751</v>
      </c>
      <c r="B3754" s="5">
        <v>88927.3646438578</v>
      </c>
      <c r="C3754" s="19">
        <v>10.450044138019715</v>
      </c>
      <c r="D3754" s="5">
        <v>161494.08445912515</v>
      </c>
      <c r="E3754" s="6">
        <v>81.602238080356202</v>
      </c>
    </row>
    <row r="3755" spans="1:5" x14ac:dyDescent="0.3">
      <c r="A3755" s="4">
        <v>3752</v>
      </c>
      <c r="B3755" s="5">
        <v>61180.766964228147</v>
      </c>
      <c r="C3755" s="19">
        <v>-24.011934474169404</v>
      </c>
      <c r="D3755" s="5">
        <v>130243.38688589727</v>
      </c>
      <c r="E3755" s="6">
        <v>112.88289334791999</v>
      </c>
    </row>
    <row r="3756" spans="1:5" x14ac:dyDescent="0.3">
      <c r="A3756" s="4">
        <v>3753</v>
      </c>
      <c r="B3756" s="5">
        <v>64847.26673964681</v>
      </c>
      <c r="C3756" s="19">
        <v>-19.45804868604489</v>
      </c>
      <c r="D3756" s="5">
        <v>135170.17053469247</v>
      </c>
      <c r="E3756" s="6">
        <v>108.44389799400922</v>
      </c>
    </row>
    <row r="3757" spans="1:5" x14ac:dyDescent="0.3">
      <c r="A3757" s="4">
        <v>3754</v>
      </c>
      <c r="B3757" s="5">
        <v>92705.209992111937</v>
      </c>
      <c r="C3757" s="19">
        <v>15.142223953899398</v>
      </c>
      <c r="D3757" s="5">
        <v>190994.53899651711</v>
      </c>
      <c r="E3757" s="6">
        <v>106.02352231634917</v>
      </c>
    </row>
    <row r="3758" spans="1:5" x14ac:dyDescent="0.3">
      <c r="A3758" s="4">
        <v>3755</v>
      </c>
      <c r="B3758" s="5">
        <v>98608.833799409796</v>
      </c>
      <c r="C3758" s="19">
        <v>22.47467457471457</v>
      </c>
      <c r="D3758" s="5">
        <v>180246.40309217072</v>
      </c>
      <c r="E3758" s="6">
        <v>82.78930613744825</v>
      </c>
    </row>
    <row r="3759" spans="1:5" x14ac:dyDescent="0.3">
      <c r="A3759" s="4">
        <v>3756</v>
      </c>
      <c r="B3759" s="5">
        <v>98048.852371437621</v>
      </c>
      <c r="C3759" s="19">
        <v>21.779163427120139</v>
      </c>
      <c r="D3759" s="5">
        <v>191716.80079871591</v>
      </c>
      <c r="E3759" s="6">
        <v>95.531917163534771</v>
      </c>
    </row>
    <row r="3760" spans="1:5" x14ac:dyDescent="0.3">
      <c r="A3760" s="4">
        <v>3757</v>
      </c>
      <c r="B3760" s="5">
        <v>74382.228844823709</v>
      </c>
      <c r="C3760" s="19">
        <v>-7.6153837247159819</v>
      </c>
      <c r="D3760" s="5">
        <v>132443.55072446508</v>
      </c>
      <c r="E3760" s="6">
        <v>78.058056045576379</v>
      </c>
    </row>
    <row r="3761" spans="1:5" x14ac:dyDescent="0.3">
      <c r="A3761" s="4">
        <v>3758</v>
      </c>
      <c r="B3761" s="5">
        <v>175702.0560739598</v>
      </c>
      <c r="C3761" s="19">
        <v>118.22641350307985</v>
      </c>
      <c r="D3761" s="5">
        <v>230989.05761524208</v>
      </c>
      <c r="E3761" s="6">
        <v>31.46633726244492</v>
      </c>
    </row>
    <row r="3762" spans="1:5" x14ac:dyDescent="0.3">
      <c r="A3762" s="4">
        <v>3759</v>
      </c>
      <c r="B3762" s="5">
        <v>51922.722815461253</v>
      </c>
      <c r="C3762" s="19">
        <v>-35.510660304606638</v>
      </c>
      <c r="D3762" s="5">
        <v>95444.447475945519</v>
      </c>
      <c r="E3762" s="6">
        <v>83.820189505787269</v>
      </c>
    </row>
    <row r="3763" spans="1:5" x14ac:dyDescent="0.3">
      <c r="A3763" s="4">
        <v>3760</v>
      </c>
      <c r="B3763" s="5">
        <v>72901.709988035363</v>
      </c>
      <c r="C3763" s="19">
        <v>-9.4542257249746484</v>
      </c>
      <c r="D3763" s="5">
        <v>148663.88805594962</v>
      </c>
      <c r="E3763" s="6">
        <v>103.92373248905733</v>
      </c>
    </row>
    <row r="3764" spans="1:5" x14ac:dyDescent="0.3">
      <c r="A3764" s="4">
        <v>3761</v>
      </c>
      <c r="B3764" s="5">
        <v>35288.582175089963</v>
      </c>
      <c r="C3764" s="19">
        <v>-56.170685205658678</v>
      </c>
      <c r="D3764" s="5">
        <v>78362.397651207488</v>
      </c>
      <c r="E3764" s="6">
        <v>122.06162112832951</v>
      </c>
    </row>
    <row r="3765" spans="1:5" x14ac:dyDescent="0.3">
      <c r="A3765" s="4">
        <v>3762</v>
      </c>
      <c r="B3765" s="5">
        <v>81703.501199121922</v>
      </c>
      <c r="C3765" s="19">
        <v>1.4778223757591147</v>
      </c>
      <c r="D3765" s="5">
        <v>153866.57123322753</v>
      </c>
      <c r="E3765" s="6">
        <v>88.323106078691708</v>
      </c>
    </row>
    <row r="3766" spans="1:5" x14ac:dyDescent="0.3">
      <c r="A3766" s="4">
        <v>3763</v>
      </c>
      <c r="B3766" s="5">
        <v>94284.520423204158</v>
      </c>
      <c r="C3766" s="19">
        <v>17.103767597077841</v>
      </c>
      <c r="D3766" s="5">
        <v>181693.67179588796</v>
      </c>
      <c r="E3766" s="6">
        <v>92.707849581607178</v>
      </c>
    </row>
    <row r="3767" spans="1:5" x14ac:dyDescent="0.3">
      <c r="A3767" s="4">
        <v>3764</v>
      </c>
      <c r="B3767" s="5">
        <v>42494.690284995202</v>
      </c>
      <c r="C3767" s="19">
        <v>-47.220516019942799</v>
      </c>
      <c r="D3767" s="5">
        <v>80995.685711251077</v>
      </c>
      <c r="E3767" s="6">
        <v>90.601896773561165</v>
      </c>
    </row>
    <row r="3768" spans="1:5" x14ac:dyDescent="0.3">
      <c r="A3768" s="4">
        <v>3765</v>
      </c>
      <c r="B3768" s="5">
        <v>79598.867994719898</v>
      </c>
      <c r="C3768" s="19">
        <v>-1.1361854861797149</v>
      </c>
      <c r="D3768" s="5">
        <v>151505.49504752146</v>
      </c>
      <c r="E3768" s="6">
        <v>90.336243296288345</v>
      </c>
    </row>
    <row r="3769" spans="1:5" x14ac:dyDescent="0.3">
      <c r="A3769" s="4">
        <v>3766</v>
      </c>
      <c r="B3769" s="5">
        <v>66572.967397186701</v>
      </c>
      <c r="C3769" s="19">
        <v>-17.314684665783712</v>
      </c>
      <c r="D3769" s="5">
        <v>119996.2376615237</v>
      </c>
      <c r="E3769" s="6">
        <v>80.247692649185723</v>
      </c>
    </row>
    <row r="3770" spans="1:5" x14ac:dyDescent="0.3">
      <c r="A3770" s="4">
        <v>3767</v>
      </c>
      <c r="B3770" s="5">
        <v>81134.727972615234</v>
      </c>
      <c r="C3770" s="19">
        <v>0.77139159122189838</v>
      </c>
      <c r="D3770" s="5">
        <v>157899.28762011378</v>
      </c>
      <c r="E3770" s="6">
        <v>94.613689557704916</v>
      </c>
    </row>
    <row r="3771" spans="1:5" x14ac:dyDescent="0.3">
      <c r="A3771" s="4">
        <v>3768</v>
      </c>
      <c r="B3771" s="5">
        <v>80152.605595374422</v>
      </c>
      <c r="C3771" s="19">
        <v>-0.44842933060136991</v>
      </c>
      <c r="D3771" s="5">
        <v>149069.59500060216</v>
      </c>
      <c r="E3771" s="6">
        <v>85.982219658751688</v>
      </c>
    </row>
    <row r="3772" spans="1:5" x14ac:dyDescent="0.3">
      <c r="A3772" s="4">
        <v>3769</v>
      </c>
      <c r="B3772" s="5">
        <v>56517.954434764208</v>
      </c>
      <c r="C3772" s="19">
        <v>-29.803265992303796</v>
      </c>
      <c r="D3772" s="5">
        <v>110898.24013463256</v>
      </c>
      <c r="E3772" s="6">
        <v>96.217717438158076</v>
      </c>
    </row>
    <row r="3773" spans="1:5" x14ac:dyDescent="0.3">
      <c r="A3773" s="4">
        <v>3770</v>
      </c>
      <c r="B3773" s="5">
        <v>54516.617497995663</v>
      </c>
      <c r="C3773" s="19">
        <v>-32.288977267864496</v>
      </c>
      <c r="D3773" s="5">
        <v>102210.6137743704</v>
      </c>
      <c r="E3773" s="6">
        <v>87.485244802886456</v>
      </c>
    </row>
    <row r="3774" spans="1:5" x14ac:dyDescent="0.3">
      <c r="A3774" s="4">
        <v>3771</v>
      </c>
      <c r="B3774" s="5">
        <v>71952.752082347142</v>
      </c>
      <c r="C3774" s="19">
        <v>-10.632855531313187</v>
      </c>
      <c r="D3774" s="5">
        <v>129229.91290724291</v>
      </c>
      <c r="E3774" s="6">
        <v>79.603849981087961</v>
      </c>
    </row>
    <row r="3775" spans="1:5" x14ac:dyDescent="0.3">
      <c r="A3775" s="4">
        <v>3772</v>
      </c>
      <c r="B3775" s="5">
        <v>45026.39025611629</v>
      </c>
      <c r="C3775" s="19">
        <v>-44.07608039346929</v>
      </c>
      <c r="D3775" s="5">
        <v>86781.392111959212</v>
      </c>
      <c r="E3775" s="6">
        <v>92.734508847666305</v>
      </c>
    </row>
    <row r="3776" spans="1:5" x14ac:dyDescent="0.3">
      <c r="A3776" s="4">
        <v>3773</v>
      </c>
      <c r="B3776" s="5">
        <v>111513.54590998779</v>
      </c>
      <c r="C3776" s="19">
        <v>38.502654577383232</v>
      </c>
      <c r="D3776" s="5">
        <v>205978.71400259304</v>
      </c>
      <c r="E3776" s="6">
        <v>84.711832380306731</v>
      </c>
    </row>
    <row r="3777" spans="1:5" x14ac:dyDescent="0.3">
      <c r="A3777" s="4">
        <v>3774</v>
      </c>
      <c r="B3777" s="5">
        <v>76524.538859028515</v>
      </c>
      <c r="C3777" s="19">
        <v>-4.9545803086486453</v>
      </c>
      <c r="D3777" s="5">
        <v>132527.71506461015</v>
      </c>
      <c r="E3777" s="6">
        <v>73.183291321427248</v>
      </c>
    </row>
    <row r="3778" spans="1:5" x14ac:dyDescent="0.3">
      <c r="A3778" s="4">
        <v>3775</v>
      </c>
      <c r="B3778" s="5">
        <v>59387.692093847298</v>
      </c>
      <c r="C3778" s="19">
        <v>-26.23897897694404</v>
      </c>
      <c r="D3778" s="5">
        <v>121203.13035859964</v>
      </c>
      <c r="E3778" s="6">
        <v>104.08796180708386</v>
      </c>
    </row>
    <row r="3779" spans="1:5" x14ac:dyDescent="0.3">
      <c r="A3779" s="4">
        <v>3776</v>
      </c>
      <c r="B3779" s="5">
        <v>49208.876260101752</v>
      </c>
      <c r="C3779" s="19">
        <v>-38.881326612145457</v>
      </c>
      <c r="D3779" s="5">
        <v>100730.8134151197</v>
      </c>
      <c r="E3779" s="6">
        <v>104.70049525758347</v>
      </c>
    </row>
    <row r="3780" spans="1:5" x14ac:dyDescent="0.3">
      <c r="A3780" s="4">
        <v>3777</v>
      </c>
      <c r="B3780" s="5">
        <v>52520.456218009436</v>
      </c>
      <c r="C3780" s="19">
        <v>-34.768260246327443</v>
      </c>
      <c r="D3780" s="5">
        <v>97446.932910362812</v>
      </c>
      <c r="E3780" s="6">
        <v>85.54091096594081</v>
      </c>
    </row>
    <row r="3781" spans="1:5" x14ac:dyDescent="0.3">
      <c r="A3781" s="4">
        <v>3778</v>
      </c>
      <c r="B3781" s="5">
        <v>65013.144430780994</v>
      </c>
      <c r="C3781" s="19">
        <v>-19.252024383169644</v>
      </c>
      <c r="D3781" s="5">
        <v>122134.70822079325</v>
      </c>
      <c r="E3781" s="6">
        <v>87.861561365992941</v>
      </c>
    </row>
    <row r="3782" spans="1:5" x14ac:dyDescent="0.3">
      <c r="A3782" s="4">
        <v>3779</v>
      </c>
      <c r="B3782" s="5">
        <v>53984.076550137688</v>
      </c>
      <c r="C3782" s="19">
        <v>-32.950406642633205</v>
      </c>
      <c r="D3782" s="5">
        <v>106677.60334906302</v>
      </c>
      <c r="E3782" s="6">
        <v>97.609388112782199</v>
      </c>
    </row>
    <row r="3783" spans="1:5" x14ac:dyDescent="0.3">
      <c r="A3783" s="4">
        <v>3780</v>
      </c>
      <c r="B3783" s="5">
        <v>34766.390027424095</v>
      </c>
      <c r="C3783" s="19">
        <v>-56.819261107904374</v>
      </c>
      <c r="D3783" s="5">
        <v>71383.340359744048</v>
      </c>
      <c r="E3783" s="6">
        <v>105.32284284746308</v>
      </c>
    </row>
    <row r="3784" spans="1:5" x14ac:dyDescent="0.3">
      <c r="A3784" s="4">
        <v>3781</v>
      </c>
      <c r="B3784" s="5">
        <v>57688.700284313803</v>
      </c>
      <c r="C3784" s="19">
        <v>-28.349169930028463</v>
      </c>
      <c r="D3784" s="5">
        <v>122009.76563982351</v>
      </c>
      <c r="E3784" s="6">
        <v>111.49681833445521</v>
      </c>
    </row>
    <row r="3785" spans="1:5" x14ac:dyDescent="0.3">
      <c r="A3785" s="4">
        <v>3782</v>
      </c>
      <c r="B3785" s="5">
        <v>86218.963679019042</v>
      </c>
      <c r="C3785" s="19">
        <v>7.0861413921335226</v>
      </c>
      <c r="D3785" s="5">
        <v>148765.69124615483</v>
      </c>
      <c r="E3785" s="6">
        <v>72.544049357851691</v>
      </c>
    </row>
    <row r="3786" spans="1:5" x14ac:dyDescent="0.3">
      <c r="A3786" s="4">
        <v>3783</v>
      </c>
      <c r="B3786" s="5">
        <v>102113.41764109221</v>
      </c>
      <c r="C3786" s="19">
        <v>26.827456663213678</v>
      </c>
      <c r="D3786" s="5">
        <v>219631.77729874628</v>
      </c>
      <c r="E3786" s="6">
        <v>115.08610951668182</v>
      </c>
    </row>
    <row r="3787" spans="1:5" x14ac:dyDescent="0.3">
      <c r="A3787" s="4">
        <v>3784</v>
      </c>
      <c r="B3787" s="5">
        <v>77316.102567742564</v>
      </c>
      <c r="C3787" s="19">
        <v>-3.9714380901014104</v>
      </c>
      <c r="D3787" s="5">
        <v>146369.07603369851</v>
      </c>
      <c r="E3787" s="6">
        <v>89.312537974160492</v>
      </c>
    </row>
    <row r="3788" spans="1:5" x14ac:dyDescent="0.3">
      <c r="A3788" s="4">
        <v>3785</v>
      </c>
      <c r="B3788" s="5">
        <v>19322.81769134368</v>
      </c>
      <c r="C3788" s="19">
        <v>-76.000569954737472</v>
      </c>
      <c r="D3788" s="5">
        <v>45044.351152156065</v>
      </c>
      <c r="E3788" s="6">
        <v>133.11481726774883</v>
      </c>
    </row>
    <row r="3789" spans="1:5" x14ac:dyDescent="0.3">
      <c r="A3789" s="4">
        <v>3786</v>
      </c>
      <c r="B3789" s="5">
        <v>75513.113222787215</v>
      </c>
      <c r="C3789" s="19">
        <v>-6.2107966219574662</v>
      </c>
      <c r="D3789" s="5">
        <v>149936.44344284982</v>
      </c>
      <c r="E3789" s="6">
        <v>98.556829461514312</v>
      </c>
    </row>
    <row r="3790" spans="1:5" x14ac:dyDescent="0.3">
      <c r="A3790" s="4">
        <v>3787</v>
      </c>
      <c r="B3790" s="5">
        <v>88963.460840215703</v>
      </c>
      <c r="C3790" s="19">
        <v>10.494876530128845</v>
      </c>
      <c r="D3790" s="5">
        <v>183240.3217709029</v>
      </c>
      <c r="E3790" s="6">
        <v>105.97256451164228</v>
      </c>
    </row>
    <row r="3791" spans="1:5" x14ac:dyDescent="0.3">
      <c r="A3791" s="4">
        <v>3788</v>
      </c>
      <c r="B3791" s="5">
        <v>43352.992768982971</v>
      </c>
      <c r="C3791" s="19">
        <v>-46.154482548469986</v>
      </c>
      <c r="D3791" s="5">
        <v>73531.40044800083</v>
      </c>
      <c r="E3791" s="6">
        <v>69.610898236785829</v>
      </c>
    </row>
    <row r="3792" spans="1:5" x14ac:dyDescent="0.3">
      <c r="A3792" s="4">
        <v>3789</v>
      </c>
      <c r="B3792" s="5">
        <v>99943.55184951883</v>
      </c>
      <c r="C3792" s="19">
        <v>24.132428272204095</v>
      </c>
      <c r="D3792" s="5">
        <v>178170.52757749968</v>
      </c>
      <c r="E3792" s="6">
        <v>78.271158349229182</v>
      </c>
    </row>
    <row r="3793" spans="1:5" x14ac:dyDescent="0.3">
      <c r="A3793" s="4">
        <v>3790</v>
      </c>
      <c r="B3793" s="5">
        <v>116650.52628154917</v>
      </c>
      <c r="C3793" s="19">
        <v>44.882914591242582</v>
      </c>
      <c r="D3793" s="5">
        <v>181663.66302142647</v>
      </c>
      <c r="E3793" s="6">
        <v>55.733256258922296</v>
      </c>
    </row>
    <row r="3794" spans="1:5" x14ac:dyDescent="0.3">
      <c r="A3794" s="4">
        <v>3791</v>
      </c>
      <c r="B3794" s="5">
        <v>26098.688647568386</v>
      </c>
      <c r="C3794" s="19">
        <v>-67.584766234636604</v>
      </c>
      <c r="D3794" s="5">
        <v>58200.47035289491</v>
      </c>
      <c r="E3794" s="6">
        <v>123.00151221704179</v>
      </c>
    </row>
    <row r="3795" spans="1:5" x14ac:dyDescent="0.3">
      <c r="A3795" s="4">
        <v>3792</v>
      </c>
      <c r="B3795" s="5">
        <v>63487.50267648539</v>
      </c>
      <c r="C3795" s="19">
        <v>-21.146910167490411</v>
      </c>
      <c r="D3795" s="5">
        <v>119678.07726226927</v>
      </c>
      <c r="E3795" s="6">
        <v>88.506512647245529</v>
      </c>
    </row>
    <row r="3796" spans="1:5" x14ac:dyDescent="0.3">
      <c r="A3796" s="4">
        <v>3793</v>
      </c>
      <c r="B3796" s="5">
        <v>53022.244832155069</v>
      </c>
      <c r="C3796" s="19">
        <v>-34.145026050618384</v>
      </c>
      <c r="D3796" s="5">
        <v>117613.75680175459</v>
      </c>
      <c r="E3796" s="6">
        <v>121.81964791205581</v>
      </c>
    </row>
    <row r="3797" spans="1:5" x14ac:dyDescent="0.3">
      <c r="A3797" s="4">
        <v>3794</v>
      </c>
      <c r="B3797" s="5">
        <v>56227.237739437958</v>
      </c>
      <c r="C3797" s="19">
        <v>-30.164343507183926</v>
      </c>
      <c r="D3797" s="5">
        <v>97470.007362450764</v>
      </c>
      <c r="E3797" s="6">
        <v>73.350161382879037</v>
      </c>
    </row>
    <row r="3798" spans="1:5" x14ac:dyDescent="0.3">
      <c r="A3798" s="4">
        <v>3795</v>
      </c>
      <c r="B3798" s="5">
        <v>67543.221987818513</v>
      </c>
      <c r="C3798" s="19">
        <v>-16.109603836169793</v>
      </c>
      <c r="D3798" s="5">
        <v>123617.95863317761</v>
      </c>
      <c r="E3798" s="6">
        <v>83.020523740298074</v>
      </c>
    </row>
    <row r="3799" spans="1:5" x14ac:dyDescent="0.3">
      <c r="A3799" s="4">
        <v>3796</v>
      </c>
      <c r="B3799" s="5">
        <v>73971.519886789858</v>
      </c>
      <c r="C3799" s="19">
        <v>-8.1254946756520727</v>
      </c>
      <c r="D3799" s="5">
        <v>146903.25729183495</v>
      </c>
      <c r="E3799" s="6">
        <v>98.594347549791976</v>
      </c>
    </row>
    <row r="3800" spans="1:5" x14ac:dyDescent="0.3">
      <c r="A3800" s="4">
        <v>3797</v>
      </c>
      <c r="B3800" s="5">
        <v>59866.221193432575</v>
      </c>
      <c r="C3800" s="19">
        <v>-25.644633688717043</v>
      </c>
      <c r="D3800" s="5">
        <v>97987.325672380626</v>
      </c>
      <c r="E3800" s="6">
        <v>63.677151687552978</v>
      </c>
    </row>
    <row r="3801" spans="1:5" x14ac:dyDescent="0.3">
      <c r="A3801" s="4">
        <v>3798</v>
      </c>
      <c r="B3801" s="5">
        <v>65886.80302954583</v>
      </c>
      <c r="C3801" s="19">
        <v>-18.166918227358227</v>
      </c>
      <c r="D3801" s="5">
        <v>101244.97249566454</v>
      </c>
      <c r="E3801" s="6">
        <v>53.665025225556818</v>
      </c>
    </row>
    <row r="3802" spans="1:5" x14ac:dyDescent="0.3">
      <c r="A3802" s="4">
        <v>3799</v>
      </c>
      <c r="B3802" s="5">
        <v>76856.243877275643</v>
      </c>
      <c r="C3802" s="19">
        <v>-4.5425942562909309</v>
      </c>
      <c r="D3802" s="5">
        <v>114646.90877320063</v>
      </c>
      <c r="E3802" s="6">
        <v>49.170585224369376</v>
      </c>
    </row>
    <row r="3803" spans="1:5" x14ac:dyDescent="0.3">
      <c r="A3803" s="4">
        <v>3800</v>
      </c>
      <c r="B3803" s="5">
        <v>29006.496861287204</v>
      </c>
      <c r="C3803" s="19">
        <v>-63.973194624071375</v>
      </c>
      <c r="D3803" s="5">
        <v>63074.202034859882</v>
      </c>
      <c r="E3803" s="6">
        <v>117.44853346644658</v>
      </c>
    </row>
    <row r="3804" spans="1:5" x14ac:dyDescent="0.3">
      <c r="A3804" s="4">
        <v>3801</v>
      </c>
      <c r="B3804" s="5">
        <v>44452.069050385297</v>
      </c>
      <c r="C3804" s="19">
        <v>-44.789401909027895</v>
      </c>
      <c r="D3804" s="5">
        <v>73702.971145290066</v>
      </c>
      <c r="E3804" s="6">
        <v>65.803240928447252</v>
      </c>
    </row>
    <row r="3805" spans="1:5" x14ac:dyDescent="0.3">
      <c r="A3805" s="4">
        <v>3802</v>
      </c>
      <c r="B3805" s="5">
        <v>44187.717315192174</v>
      </c>
      <c r="C3805" s="19">
        <v>-45.117733474198808</v>
      </c>
      <c r="D3805" s="5">
        <v>90031.073064522934</v>
      </c>
      <c r="E3805" s="6">
        <v>103.74682951447542</v>
      </c>
    </row>
    <row r="3806" spans="1:5" x14ac:dyDescent="0.3">
      <c r="A3806" s="4">
        <v>3803</v>
      </c>
      <c r="B3806" s="5">
        <v>95308.915378808422</v>
      </c>
      <c r="C3806" s="19">
        <v>18.376092134236725</v>
      </c>
      <c r="D3806" s="5">
        <v>162694.4486501292</v>
      </c>
      <c r="E3806" s="6">
        <v>70.702234941500237</v>
      </c>
    </row>
    <row r="3807" spans="1:5" x14ac:dyDescent="0.3">
      <c r="A3807" s="4">
        <v>3804</v>
      </c>
      <c r="B3807" s="5">
        <v>58665.649237720507</v>
      </c>
      <c r="C3807" s="19">
        <v>-27.135774531924582</v>
      </c>
      <c r="D3807" s="5">
        <v>124532.39493883276</v>
      </c>
      <c r="E3807" s="6">
        <v>112.27480912077188</v>
      </c>
    </row>
    <row r="3808" spans="1:5" x14ac:dyDescent="0.3">
      <c r="A3808" s="4">
        <v>3805</v>
      </c>
      <c r="B3808" s="5">
        <v>128124.49173733423</v>
      </c>
      <c r="C3808" s="19">
        <v>59.133870931902635</v>
      </c>
      <c r="D3808" s="5">
        <v>200814.52936305845</v>
      </c>
      <c r="E3808" s="6">
        <v>56.733912962359135</v>
      </c>
    </row>
    <row r="3809" spans="1:5" x14ac:dyDescent="0.3">
      <c r="A3809" s="4">
        <v>3806</v>
      </c>
      <c r="B3809" s="5">
        <v>29894.938072940589</v>
      </c>
      <c r="C3809" s="19">
        <v>-62.869728087824143</v>
      </c>
      <c r="D3809" s="5">
        <v>66082.275305569186</v>
      </c>
      <c r="E3809" s="6">
        <v>121.0483766326433</v>
      </c>
    </row>
    <row r="3810" spans="1:5" x14ac:dyDescent="0.3">
      <c r="A3810" s="4">
        <v>3807</v>
      </c>
      <c r="B3810" s="5">
        <v>60776.404590119499</v>
      </c>
      <c r="C3810" s="19">
        <v>-24.514162806774554</v>
      </c>
      <c r="D3810" s="5">
        <v>124762.12615079277</v>
      </c>
      <c r="E3810" s="6">
        <v>105.28053114065837</v>
      </c>
    </row>
    <row r="3811" spans="1:5" x14ac:dyDescent="0.3">
      <c r="A3811" s="4">
        <v>3808</v>
      </c>
      <c r="B3811" s="5">
        <v>103082.94179087384</v>
      </c>
      <c r="C3811" s="19">
        <v>28.031630266750838</v>
      </c>
      <c r="D3811" s="5">
        <v>173825.10781072723</v>
      </c>
      <c r="E3811" s="6">
        <v>68.626452438046698</v>
      </c>
    </row>
    <row r="3812" spans="1:5" x14ac:dyDescent="0.3">
      <c r="A3812" s="4">
        <v>3809</v>
      </c>
      <c r="B3812" s="5">
        <v>50333.754112045004</v>
      </c>
      <c r="C3812" s="19">
        <v>-37.484199767168221</v>
      </c>
      <c r="D3812" s="5">
        <v>95891.933376523724</v>
      </c>
      <c r="E3812" s="6">
        <v>90.512182268511793</v>
      </c>
    </row>
    <row r="3813" spans="1:5" x14ac:dyDescent="0.3">
      <c r="A3813" s="4">
        <v>3810</v>
      </c>
      <c r="B3813" s="5">
        <v>58042.747080940338</v>
      </c>
      <c r="C3813" s="19">
        <v>-27.909434821820394</v>
      </c>
      <c r="D3813" s="5">
        <v>113375.4603752565</v>
      </c>
      <c r="E3813" s="6">
        <v>95.330969116873391</v>
      </c>
    </row>
    <row r="3814" spans="1:5" x14ac:dyDescent="0.3">
      <c r="A3814" s="4">
        <v>3811</v>
      </c>
      <c r="B3814" s="5">
        <v>51903.271313807862</v>
      </c>
      <c r="C3814" s="19">
        <v>-35.534819563399161</v>
      </c>
      <c r="D3814" s="5">
        <v>86732.046794269088</v>
      </c>
      <c r="E3814" s="6">
        <v>67.103237616538649</v>
      </c>
    </row>
    <row r="3815" spans="1:5" x14ac:dyDescent="0.3">
      <c r="A3815" s="4">
        <v>3812</v>
      </c>
      <c r="B3815" s="5">
        <v>49521.924958607189</v>
      </c>
      <c r="C3815" s="19">
        <v>-38.492512182461766</v>
      </c>
      <c r="D3815" s="5">
        <v>96962.781931293852</v>
      </c>
      <c r="E3815" s="6">
        <v>95.797683576193819</v>
      </c>
    </row>
    <row r="3816" spans="1:5" x14ac:dyDescent="0.3">
      <c r="A3816" s="4">
        <v>3813</v>
      </c>
      <c r="B3816" s="5">
        <v>59723.38500467511</v>
      </c>
      <c r="C3816" s="19">
        <v>-25.822039860776119</v>
      </c>
      <c r="D3816" s="5">
        <v>114576.68060534715</v>
      </c>
      <c r="E3816" s="6">
        <v>91.845590460718469</v>
      </c>
    </row>
    <row r="3817" spans="1:5" x14ac:dyDescent="0.3">
      <c r="A3817" s="4">
        <v>3814</v>
      </c>
      <c r="B3817" s="5">
        <v>32090.748278566854</v>
      </c>
      <c r="C3817" s="19">
        <v>-60.142476076011754</v>
      </c>
      <c r="D3817" s="5">
        <v>65287.318603275577</v>
      </c>
      <c r="E3817" s="6">
        <v>103.44592166110516</v>
      </c>
    </row>
    <row r="3818" spans="1:5" x14ac:dyDescent="0.3">
      <c r="A3818" s="4">
        <v>3815</v>
      </c>
      <c r="B3818" s="5">
        <v>32928.50979062236</v>
      </c>
      <c r="C3818" s="19">
        <v>-59.101955013071915</v>
      </c>
      <c r="D3818" s="5">
        <v>69294.55604398284</v>
      </c>
      <c r="E3818" s="6">
        <v>110.43939274688066</v>
      </c>
    </row>
    <row r="3819" spans="1:5" x14ac:dyDescent="0.3">
      <c r="A3819" s="4">
        <v>3816</v>
      </c>
      <c r="B3819" s="5">
        <v>49919.409407522209</v>
      </c>
      <c r="C3819" s="19">
        <v>-37.998826407530025</v>
      </c>
      <c r="D3819" s="5">
        <v>98686.840479237551</v>
      </c>
      <c r="E3819" s="6">
        <v>97.692323788523666</v>
      </c>
    </row>
    <row r="3820" spans="1:5" x14ac:dyDescent="0.3">
      <c r="A3820" s="4">
        <v>3817</v>
      </c>
      <c r="B3820" s="5">
        <v>77839.951711124304</v>
      </c>
      <c r="C3820" s="19">
        <v>-3.3208041571169438</v>
      </c>
      <c r="D3820" s="5">
        <v>144204.51286832779</v>
      </c>
      <c r="E3820" s="6">
        <v>85.257711108933222</v>
      </c>
    </row>
    <row r="3821" spans="1:5" x14ac:dyDescent="0.3">
      <c r="A3821" s="4">
        <v>3818</v>
      </c>
      <c r="B3821" s="5">
        <v>36437.430162880584</v>
      </c>
      <c r="C3821" s="19">
        <v>-54.743786843523154</v>
      </c>
      <c r="D3821" s="5">
        <v>70812.372439705592</v>
      </c>
      <c r="E3821" s="6">
        <v>94.339645038533291</v>
      </c>
    </row>
    <row r="3822" spans="1:5" x14ac:dyDescent="0.3">
      <c r="A3822" s="4">
        <v>3819</v>
      </c>
      <c r="B3822" s="5">
        <v>75747.51866908418</v>
      </c>
      <c r="C3822" s="19">
        <v>-5.9196591077246046</v>
      </c>
      <c r="D3822" s="5">
        <v>126357.15574153642</v>
      </c>
      <c r="E3822" s="6">
        <v>66.813590678196306</v>
      </c>
    </row>
    <row r="3823" spans="1:5" x14ac:dyDescent="0.3">
      <c r="A3823" s="4">
        <v>3820</v>
      </c>
      <c r="B3823" s="5">
        <v>42715.946000375428</v>
      </c>
      <c r="C3823" s="19">
        <v>-46.945710805289195</v>
      </c>
      <c r="D3823" s="5">
        <v>91343.012595679698</v>
      </c>
      <c r="E3823" s="6">
        <v>113.83820598255483</v>
      </c>
    </row>
    <row r="3824" spans="1:5" x14ac:dyDescent="0.3">
      <c r="A3824" s="4">
        <v>3821</v>
      </c>
      <c r="B3824" s="5">
        <v>81748.377626369853</v>
      </c>
      <c r="C3824" s="19">
        <v>1.5335600375029563</v>
      </c>
      <c r="D3824" s="5">
        <v>160445.04086104422</v>
      </c>
      <c r="E3824" s="6">
        <v>96.266941950036838</v>
      </c>
    </row>
    <row r="3825" spans="1:5" x14ac:dyDescent="0.3">
      <c r="A3825" s="4">
        <v>3822</v>
      </c>
      <c r="B3825" s="5">
        <v>61668.051082544043</v>
      </c>
      <c r="C3825" s="19">
        <v>-23.406715230449649</v>
      </c>
      <c r="D3825" s="5">
        <v>103705.40178819094</v>
      </c>
      <c r="E3825" s="6">
        <v>68.167146468402223</v>
      </c>
    </row>
    <row r="3826" spans="1:5" x14ac:dyDescent="0.3">
      <c r="A3826" s="4">
        <v>3823</v>
      </c>
      <c r="B3826" s="5">
        <v>140734.0591151632</v>
      </c>
      <c r="C3826" s="19">
        <v>74.795273684814845</v>
      </c>
      <c r="D3826" s="5">
        <v>286940.31897594559</v>
      </c>
      <c r="E3826" s="6">
        <v>103.88832723224537</v>
      </c>
    </row>
    <row r="3827" spans="1:5" x14ac:dyDescent="0.3">
      <c r="A3827" s="4">
        <v>3824</v>
      </c>
      <c r="B3827" s="5">
        <v>206664.58382418155</v>
      </c>
      <c r="C3827" s="19">
        <v>156.68265889315234</v>
      </c>
      <c r="D3827" s="5">
        <v>368591.39102610154</v>
      </c>
      <c r="E3827" s="6">
        <v>78.352470561515318</v>
      </c>
    </row>
    <row r="3828" spans="1:5" x14ac:dyDescent="0.3">
      <c r="A3828" s="4">
        <v>3825</v>
      </c>
      <c r="B3828" s="5">
        <v>43132.821864325277</v>
      </c>
      <c r="C3828" s="19">
        <v>-46.427940400670373</v>
      </c>
      <c r="D3828" s="5">
        <v>84041.261147477358</v>
      </c>
      <c r="E3828" s="6">
        <v>94.842946774569924</v>
      </c>
    </row>
    <row r="3829" spans="1:5" x14ac:dyDescent="0.3">
      <c r="A3829" s="4">
        <v>3826</v>
      </c>
      <c r="B3829" s="5">
        <v>57368.916677368819</v>
      </c>
      <c r="C3829" s="19">
        <v>-28.746349286946788</v>
      </c>
      <c r="D3829" s="5">
        <v>94474.590698297718</v>
      </c>
      <c r="E3829" s="6">
        <v>64.679056482108081</v>
      </c>
    </row>
    <row r="3830" spans="1:5" x14ac:dyDescent="0.3">
      <c r="A3830" s="4">
        <v>3827</v>
      </c>
      <c r="B3830" s="5">
        <v>87546.191393858477</v>
      </c>
      <c r="C3830" s="19">
        <v>8.7345919030904309</v>
      </c>
      <c r="D3830" s="5">
        <v>150030.32478087328</v>
      </c>
      <c r="E3830" s="6">
        <v>71.372760359051085</v>
      </c>
    </row>
    <row r="3831" spans="1:5" x14ac:dyDescent="0.3">
      <c r="A3831" s="4">
        <v>3828</v>
      </c>
      <c r="B3831" s="5">
        <v>57469.801035670571</v>
      </c>
      <c r="C3831" s="19">
        <v>-28.621048353180345</v>
      </c>
      <c r="D3831" s="5">
        <v>103248.37232408844</v>
      </c>
      <c r="E3831" s="6">
        <v>79.65674226017218</v>
      </c>
    </row>
    <row r="3832" spans="1:5" x14ac:dyDescent="0.3">
      <c r="A3832" s="4">
        <v>3829</v>
      </c>
      <c r="B3832" s="5">
        <v>75697.135189072185</v>
      </c>
      <c r="C3832" s="19">
        <v>-5.9822366687873707</v>
      </c>
      <c r="D3832" s="5">
        <v>152556.03647878778</v>
      </c>
      <c r="E3832" s="6">
        <v>101.53475570474578</v>
      </c>
    </row>
    <row r="3833" spans="1:5" x14ac:dyDescent="0.3">
      <c r="A3833" s="4">
        <v>3830</v>
      </c>
      <c r="B3833" s="5">
        <v>98509.632451524754</v>
      </c>
      <c r="C3833" s="19">
        <v>22.351463982605669</v>
      </c>
      <c r="D3833" s="5">
        <v>177529.47051110599</v>
      </c>
      <c r="E3833" s="6">
        <v>80.215341477865948</v>
      </c>
    </row>
    <row r="3834" spans="1:5" x14ac:dyDescent="0.3">
      <c r="A3834" s="4">
        <v>3831</v>
      </c>
      <c r="B3834" s="5">
        <v>39245.612471564149</v>
      </c>
      <c r="C3834" s="19">
        <v>-51.255953135823951</v>
      </c>
      <c r="D3834" s="5">
        <v>73165.946724748428</v>
      </c>
      <c r="E3834" s="6">
        <v>86.430895371454938</v>
      </c>
    </row>
    <row r="3835" spans="1:5" x14ac:dyDescent="0.3">
      <c r="A3835" s="4">
        <v>3832</v>
      </c>
      <c r="B3835" s="5">
        <v>43470.304282627389</v>
      </c>
      <c r="C3835" s="19">
        <v>-46.008778670796161</v>
      </c>
      <c r="D3835" s="5">
        <v>77590.612264814234</v>
      </c>
      <c r="E3835" s="6">
        <v>78.491072342971364</v>
      </c>
    </row>
    <row r="3836" spans="1:5" x14ac:dyDescent="0.3">
      <c r="A3836" s="4">
        <v>3833</v>
      </c>
      <c r="B3836" s="5">
        <v>79693.355867330378</v>
      </c>
      <c r="C3836" s="19">
        <v>-1.018829150004336</v>
      </c>
      <c r="D3836" s="5">
        <v>157653.6217937762</v>
      </c>
      <c r="E3836" s="6">
        <v>97.825301843519156</v>
      </c>
    </row>
    <row r="3837" spans="1:5" x14ac:dyDescent="0.3">
      <c r="A3837" s="4">
        <v>3834</v>
      </c>
      <c r="B3837" s="5">
        <v>55685.817185647582</v>
      </c>
      <c r="C3837" s="19">
        <v>-30.836801577912425</v>
      </c>
      <c r="D3837" s="5">
        <v>105427.80032394019</v>
      </c>
      <c r="E3837" s="6">
        <v>89.326125847198782</v>
      </c>
    </row>
    <row r="3838" spans="1:5" x14ac:dyDescent="0.3">
      <c r="A3838" s="4">
        <v>3835</v>
      </c>
      <c r="B3838" s="5">
        <v>17872.98767645362</v>
      </c>
      <c r="C3838" s="19">
        <v>-77.801295634381162</v>
      </c>
      <c r="D3838" s="5">
        <v>40134.913339090082</v>
      </c>
      <c r="E3838" s="6">
        <v>124.5562637071862</v>
      </c>
    </row>
    <row r="3839" spans="1:5" x14ac:dyDescent="0.3">
      <c r="A3839" s="4">
        <v>3836</v>
      </c>
      <c r="B3839" s="5">
        <v>39328.058878473872</v>
      </c>
      <c r="C3839" s="19">
        <v>-51.15355260569838</v>
      </c>
      <c r="D3839" s="5">
        <v>68791.143643092888</v>
      </c>
      <c r="E3839" s="6">
        <v>74.916193691790795</v>
      </c>
    </row>
    <row r="3840" spans="1:5" x14ac:dyDescent="0.3">
      <c r="A3840" s="4">
        <v>3837</v>
      </c>
      <c r="B3840" s="5">
        <v>59843.318715108297</v>
      </c>
      <c r="C3840" s="19">
        <v>-25.673079148131222</v>
      </c>
      <c r="D3840" s="5">
        <v>99420.347255280707</v>
      </c>
      <c r="E3840" s="6">
        <v>66.134414651339554</v>
      </c>
    </row>
    <row r="3841" spans="1:5" x14ac:dyDescent="0.3">
      <c r="A3841" s="4">
        <v>3838</v>
      </c>
      <c r="B3841" s="5">
        <v>43798.392615623394</v>
      </c>
      <c r="C3841" s="19">
        <v>-45.601284633322955</v>
      </c>
      <c r="D3841" s="5">
        <v>83976.567831714812</v>
      </c>
      <c r="E3841" s="6">
        <v>91.734360136676344</v>
      </c>
    </row>
    <row r="3842" spans="1:5" x14ac:dyDescent="0.3">
      <c r="A3842" s="4">
        <v>3839</v>
      </c>
      <c r="B3842" s="5">
        <v>86152.639700060463</v>
      </c>
      <c r="C3842" s="19">
        <v>7.0037653267601501</v>
      </c>
      <c r="D3842" s="5">
        <v>143764.99579818689</v>
      </c>
      <c r="E3842" s="6">
        <v>66.872421203463134</v>
      </c>
    </row>
    <row r="3843" spans="1:5" x14ac:dyDescent="0.3">
      <c r="A3843" s="4">
        <v>3840</v>
      </c>
      <c r="B3843" s="5">
        <v>91016.412836716292</v>
      </c>
      <c r="C3843" s="19">
        <v>13.044695020025895</v>
      </c>
      <c r="D3843" s="5">
        <v>151957.66194613653</v>
      </c>
      <c r="E3843" s="6">
        <v>66.956329314745702</v>
      </c>
    </row>
    <row r="3844" spans="1:5" x14ac:dyDescent="0.3">
      <c r="A3844" s="4">
        <v>3841</v>
      </c>
      <c r="B3844" s="5">
        <v>61337.88360084367</v>
      </c>
      <c r="C3844" s="19">
        <v>-23.81679162338888</v>
      </c>
      <c r="D3844" s="5">
        <v>125034.61494102445</v>
      </c>
      <c r="E3844" s="6">
        <v>103.84566209471346</v>
      </c>
    </row>
    <row r="3845" spans="1:5" x14ac:dyDescent="0.3">
      <c r="A3845" s="4">
        <v>3842</v>
      </c>
      <c r="B3845" s="5">
        <v>38440.361266934422</v>
      </c>
      <c r="C3845" s="19">
        <v>-52.256095571729247</v>
      </c>
      <c r="D3845" s="5">
        <v>66480.296560217161</v>
      </c>
      <c r="E3845" s="6">
        <v>72.94399524127806</v>
      </c>
    </row>
    <row r="3846" spans="1:5" x14ac:dyDescent="0.3">
      <c r="A3846" s="4">
        <v>3843</v>
      </c>
      <c r="B3846" s="5">
        <v>104066.3486751673</v>
      </c>
      <c r="C3846" s="19">
        <v>29.253046578938246</v>
      </c>
      <c r="D3846" s="5">
        <v>158034.32347150706</v>
      </c>
      <c r="E3846" s="6">
        <v>51.859198947005801</v>
      </c>
    </row>
    <row r="3847" spans="1:5" x14ac:dyDescent="0.3">
      <c r="A3847" s="4">
        <v>3844</v>
      </c>
      <c r="B3847" s="5">
        <v>77766.055533570412</v>
      </c>
      <c r="C3847" s="19">
        <v>-3.4125850853514121</v>
      </c>
      <c r="D3847" s="5">
        <v>128615.98719037438</v>
      </c>
      <c r="E3847" s="6">
        <v>65.388338533967215</v>
      </c>
    </row>
    <row r="3848" spans="1:5" x14ac:dyDescent="0.3">
      <c r="A3848" s="4">
        <v>3845</v>
      </c>
      <c r="B3848" s="5">
        <v>66404.009611124551</v>
      </c>
      <c r="C3848" s="19">
        <v>-17.524534524741782</v>
      </c>
      <c r="D3848" s="5">
        <v>111869.47669539187</v>
      </c>
      <c r="E3848" s="6">
        <v>68.46795449630585</v>
      </c>
    </row>
    <row r="3849" spans="1:5" x14ac:dyDescent="0.3">
      <c r="A3849" s="4">
        <v>3846</v>
      </c>
      <c r="B3849" s="5">
        <v>38217.909193932457</v>
      </c>
      <c r="C3849" s="19">
        <v>-52.532386692916297</v>
      </c>
      <c r="D3849" s="5">
        <v>77660.417908186035</v>
      </c>
      <c r="E3849" s="6">
        <v>103.20425566481678</v>
      </c>
    </row>
    <row r="3850" spans="1:5" x14ac:dyDescent="0.3">
      <c r="A3850" s="4">
        <v>3847</v>
      </c>
      <c r="B3850" s="5">
        <v>107702.41937022738</v>
      </c>
      <c r="C3850" s="19">
        <v>33.769138676873631</v>
      </c>
      <c r="D3850" s="5">
        <v>176461.17856410737</v>
      </c>
      <c r="E3850" s="6">
        <v>63.841424914998015</v>
      </c>
    </row>
    <row r="3851" spans="1:5" x14ac:dyDescent="0.3">
      <c r="A3851" s="4">
        <v>3848</v>
      </c>
      <c r="B3851" s="5">
        <v>70926.311405722765</v>
      </c>
      <c r="C3851" s="19">
        <v>-11.907720905905752</v>
      </c>
      <c r="D3851" s="5">
        <v>122099.57767774524</v>
      </c>
      <c r="E3851" s="6">
        <v>72.149904961635301</v>
      </c>
    </row>
    <row r="3852" spans="1:5" x14ac:dyDescent="0.3">
      <c r="A3852" s="4">
        <v>3849</v>
      </c>
      <c r="B3852" s="5">
        <v>71874.399448620898</v>
      </c>
      <c r="C3852" s="19">
        <v>-10.730171491232298</v>
      </c>
      <c r="D3852" s="5">
        <v>124701.56589954697</v>
      </c>
      <c r="E3852" s="6">
        <v>73.499280489556426</v>
      </c>
    </row>
    <row r="3853" spans="1:5" x14ac:dyDescent="0.3">
      <c r="A3853" s="4">
        <v>3850</v>
      </c>
      <c r="B3853" s="5">
        <v>87157.530006029454</v>
      </c>
      <c r="C3853" s="19">
        <v>8.2518645939839566</v>
      </c>
      <c r="D3853" s="5">
        <v>163306.24303507074</v>
      </c>
      <c r="E3853" s="6">
        <v>87.369058099481961</v>
      </c>
    </row>
    <row r="3854" spans="1:5" x14ac:dyDescent="0.3">
      <c r="A3854" s="4">
        <v>3851</v>
      </c>
      <c r="B3854" s="5">
        <v>55685.01465134717</v>
      </c>
      <c r="C3854" s="19">
        <v>-30.837798345884327</v>
      </c>
      <c r="D3854" s="5">
        <v>101605.66756241099</v>
      </c>
      <c r="E3854" s="6">
        <v>82.465010018548824</v>
      </c>
    </row>
    <row r="3855" spans="1:5" x14ac:dyDescent="0.3">
      <c r="A3855" s="4">
        <v>3852</v>
      </c>
      <c r="B3855" s="5">
        <v>97593.504137013413</v>
      </c>
      <c r="C3855" s="19">
        <v>21.213609361824933</v>
      </c>
      <c r="D3855" s="5">
        <v>199205.79153254669</v>
      </c>
      <c r="E3855" s="6">
        <v>104.11787986716597</v>
      </c>
    </row>
    <row r="3856" spans="1:5" x14ac:dyDescent="0.3">
      <c r="A3856" s="4">
        <v>3853</v>
      </c>
      <c r="B3856" s="5">
        <v>57749.172042727994</v>
      </c>
      <c r="C3856" s="19">
        <v>-28.274062471118601</v>
      </c>
      <c r="D3856" s="5">
        <v>119606.57149006265</v>
      </c>
      <c r="E3856" s="6">
        <v>107.11391567928806</v>
      </c>
    </row>
    <row r="3857" spans="1:5" x14ac:dyDescent="0.3">
      <c r="A3857" s="4">
        <v>3854</v>
      </c>
      <c r="B3857" s="5">
        <v>128308.38628749241</v>
      </c>
      <c r="C3857" s="19">
        <v>59.362272631009027</v>
      </c>
      <c r="D3857" s="5">
        <v>287453.77125639777</v>
      </c>
      <c r="E3857" s="6">
        <v>124.03350207547498</v>
      </c>
    </row>
    <row r="3858" spans="1:5" x14ac:dyDescent="0.3">
      <c r="A3858" s="4">
        <v>3855</v>
      </c>
      <c r="B3858" s="5">
        <v>76816.00982334571</v>
      </c>
      <c r="C3858" s="19">
        <v>-4.5925659725360894</v>
      </c>
      <c r="D3858" s="5">
        <v>157515.68175898996</v>
      </c>
      <c r="E3858" s="6">
        <v>105.05579777084206</v>
      </c>
    </row>
    <row r="3859" spans="1:5" x14ac:dyDescent="0.3">
      <c r="A3859" s="4">
        <v>3856</v>
      </c>
      <c r="B3859" s="5">
        <v>94074.537459795742</v>
      </c>
      <c r="C3859" s="19">
        <v>16.842963426510376</v>
      </c>
      <c r="D3859" s="5">
        <v>156691.71692157187</v>
      </c>
      <c r="E3859" s="6">
        <v>66.561240854930148</v>
      </c>
    </row>
    <row r="3860" spans="1:5" x14ac:dyDescent="0.3">
      <c r="A3860" s="4">
        <v>3857</v>
      </c>
      <c r="B3860" s="5">
        <v>35562.841619910731</v>
      </c>
      <c r="C3860" s="19">
        <v>-55.830048013642056</v>
      </c>
      <c r="D3860" s="5">
        <v>78027.194895438937</v>
      </c>
      <c r="E3860" s="6">
        <v>119.4065247355079</v>
      </c>
    </row>
    <row r="3861" spans="1:5" x14ac:dyDescent="0.3">
      <c r="A3861" s="4">
        <v>3858</v>
      </c>
      <c r="B3861" s="5">
        <v>91387.378965276876</v>
      </c>
      <c r="C3861" s="19">
        <v>13.505444367960799</v>
      </c>
      <c r="D3861" s="5">
        <v>139922.91294288507</v>
      </c>
      <c r="E3861" s="6">
        <v>53.10966845438201</v>
      </c>
    </row>
    <row r="3862" spans="1:5" x14ac:dyDescent="0.3">
      <c r="A3862" s="4">
        <v>3859</v>
      </c>
      <c r="B3862" s="5">
        <v>61413.663945330198</v>
      </c>
      <c r="C3862" s="19">
        <v>-23.722670511998121</v>
      </c>
      <c r="D3862" s="5">
        <v>113410.05175431927</v>
      </c>
      <c r="E3862" s="6">
        <v>84.665829179766433</v>
      </c>
    </row>
    <row r="3863" spans="1:5" x14ac:dyDescent="0.3">
      <c r="A3863" s="4">
        <v>3860</v>
      </c>
      <c r="B3863" s="5">
        <v>62115.689741817558</v>
      </c>
      <c r="C3863" s="19">
        <v>-22.850736653184359</v>
      </c>
      <c r="D3863" s="5">
        <v>113602.87886145298</v>
      </c>
      <c r="E3863" s="6">
        <v>82.889185218164272</v>
      </c>
    </row>
    <row r="3864" spans="1:5" x14ac:dyDescent="0.3">
      <c r="A3864" s="4">
        <v>3861</v>
      </c>
      <c r="B3864" s="5">
        <v>64288.218240254959</v>
      </c>
      <c r="C3864" s="19">
        <v>-20.152401112661959</v>
      </c>
      <c r="D3864" s="5">
        <v>121777.65267367111</v>
      </c>
      <c r="E3864" s="6">
        <v>89.424525997235278</v>
      </c>
    </row>
    <row r="3865" spans="1:5" x14ac:dyDescent="0.3">
      <c r="A3865" s="4">
        <v>3862</v>
      </c>
      <c r="B3865" s="5">
        <v>75766.605626879915</v>
      </c>
      <c r="C3865" s="19">
        <v>-5.8959526216565399</v>
      </c>
      <c r="D3865" s="5">
        <v>159824.89895000966</v>
      </c>
      <c r="E3865" s="6">
        <v>110.9437233298837</v>
      </c>
    </row>
    <row r="3866" spans="1:5" x14ac:dyDescent="0.3">
      <c r="A3866" s="4">
        <v>3863</v>
      </c>
      <c r="B3866" s="5">
        <v>34768.598354756243</v>
      </c>
      <c r="C3866" s="19">
        <v>-56.816518309303696</v>
      </c>
      <c r="D3866" s="5">
        <v>73274.128921641517</v>
      </c>
      <c r="E3866" s="6">
        <v>110.74800937903737</v>
      </c>
    </row>
    <row r="3867" spans="1:5" x14ac:dyDescent="0.3">
      <c r="A3867" s="4">
        <v>3864</v>
      </c>
      <c r="B3867" s="5">
        <v>60478.733397773183</v>
      </c>
      <c r="C3867" s="19">
        <v>-24.883877983480158</v>
      </c>
      <c r="D3867" s="5">
        <v>108359.99868097992</v>
      </c>
      <c r="E3867" s="6">
        <v>79.170416761687207</v>
      </c>
    </row>
    <row r="3868" spans="1:5" x14ac:dyDescent="0.3">
      <c r="A3868" s="4">
        <v>3865</v>
      </c>
      <c r="B3868" s="5">
        <v>101116.05974866517</v>
      </c>
      <c r="C3868" s="19">
        <v>25.588712844804824</v>
      </c>
      <c r="D3868" s="5">
        <v>164123.67752055178</v>
      </c>
      <c r="E3868" s="6">
        <v>62.312176649781271</v>
      </c>
    </row>
    <row r="3869" spans="1:5" x14ac:dyDescent="0.3">
      <c r="A3869" s="4">
        <v>3866</v>
      </c>
      <c r="B3869" s="5">
        <v>67855.854299284154</v>
      </c>
      <c r="C3869" s="19">
        <v>-15.721306569758713</v>
      </c>
      <c r="D3869" s="5">
        <v>117029.66226064699</v>
      </c>
      <c r="E3869" s="6">
        <v>72.468040479569339</v>
      </c>
    </row>
    <row r="3870" spans="1:5" x14ac:dyDescent="0.3">
      <c r="A3870" s="4">
        <v>3867</v>
      </c>
      <c r="B3870" s="5">
        <v>95663.412012315501</v>
      </c>
      <c r="C3870" s="19">
        <v>18.816385951268675</v>
      </c>
      <c r="D3870" s="5">
        <v>183175.17839560768</v>
      </c>
      <c r="E3870" s="6">
        <v>91.478826170266757</v>
      </c>
    </row>
    <row r="3871" spans="1:5" x14ac:dyDescent="0.3">
      <c r="A3871" s="4">
        <v>3868</v>
      </c>
      <c r="B3871" s="5">
        <v>103266.23596336275</v>
      </c>
      <c r="C3871" s="19">
        <v>28.25928628155258</v>
      </c>
      <c r="D3871" s="5">
        <v>179886.41261720369</v>
      </c>
      <c r="E3871" s="6">
        <v>74.196736173307016</v>
      </c>
    </row>
    <row r="3872" spans="1:5" x14ac:dyDescent="0.3">
      <c r="A3872" s="4">
        <v>3869</v>
      </c>
      <c r="B3872" s="5">
        <v>36252.156366282157</v>
      </c>
      <c r="C3872" s="19">
        <v>-54.97390160171787</v>
      </c>
      <c r="D3872" s="5">
        <v>72593.572781484108</v>
      </c>
      <c r="E3872" s="6">
        <v>100.24621997107685</v>
      </c>
    </row>
    <row r="3873" spans="1:5" x14ac:dyDescent="0.3">
      <c r="A3873" s="4">
        <v>3870</v>
      </c>
      <c r="B3873" s="5">
        <v>53391.200154495127</v>
      </c>
      <c r="C3873" s="19">
        <v>-33.686774175049827</v>
      </c>
      <c r="D3873" s="5">
        <v>95456.36109576156</v>
      </c>
      <c r="E3873" s="6">
        <v>78.78669297476894</v>
      </c>
    </row>
    <row r="3874" spans="1:5" x14ac:dyDescent="0.3">
      <c r="A3874" s="4">
        <v>3871</v>
      </c>
      <c r="B3874" s="5">
        <v>115704.48693709252</v>
      </c>
      <c r="C3874" s="19">
        <v>43.707909712035715</v>
      </c>
      <c r="D3874" s="5">
        <v>249454.9087382821</v>
      </c>
      <c r="E3874" s="6">
        <v>115.5965730818274</v>
      </c>
    </row>
    <row r="3875" spans="1:5" x14ac:dyDescent="0.3">
      <c r="A3875" s="4">
        <v>3872</v>
      </c>
      <c r="B3875" s="5">
        <v>52336.698443955349</v>
      </c>
      <c r="C3875" s="19">
        <v>-34.996492066040766</v>
      </c>
      <c r="D3875" s="5">
        <v>86567.954463610076</v>
      </c>
      <c r="E3875" s="6">
        <v>65.405837657702463</v>
      </c>
    </row>
    <row r="3876" spans="1:5" x14ac:dyDescent="0.3">
      <c r="A3876" s="4">
        <v>3873</v>
      </c>
      <c r="B3876" s="5">
        <v>72844.327670571918</v>
      </c>
      <c r="C3876" s="19">
        <v>-9.5254960198041605</v>
      </c>
      <c r="D3876" s="5">
        <v>132280.46197535057</v>
      </c>
      <c r="E3876" s="6">
        <v>81.593359710271599</v>
      </c>
    </row>
    <row r="3877" spans="1:5" x14ac:dyDescent="0.3">
      <c r="A3877" s="4">
        <v>3874</v>
      </c>
      <c r="B3877" s="5">
        <v>54023.718930166338</v>
      </c>
      <c r="C3877" s="19">
        <v>-32.901169800391941</v>
      </c>
      <c r="D3877" s="5">
        <v>96379.560563002553</v>
      </c>
      <c r="E3877" s="6">
        <v>78.402306378773019</v>
      </c>
    </row>
    <row r="3878" spans="1:5" x14ac:dyDescent="0.3">
      <c r="A3878" s="4">
        <v>3875</v>
      </c>
      <c r="B3878" s="5">
        <v>74381.953611405319</v>
      </c>
      <c r="C3878" s="19">
        <v>-7.6157255716078938</v>
      </c>
      <c r="D3878" s="5">
        <v>130992.21884998197</v>
      </c>
      <c r="E3878" s="6">
        <v>76.107526745434058</v>
      </c>
    </row>
    <row r="3879" spans="1:5" x14ac:dyDescent="0.3">
      <c r="A3879" s="4">
        <v>3876</v>
      </c>
      <c r="B3879" s="5">
        <v>82293.773673136122</v>
      </c>
      <c r="C3879" s="19">
        <v>2.2109557714177654</v>
      </c>
      <c r="D3879" s="5">
        <v>137469.53299833421</v>
      </c>
      <c r="E3879" s="6">
        <v>67.047307302192166</v>
      </c>
    </row>
    <row r="3880" spans="1:5" x14ac:dyDescent="0.3">
      <c r="A3880" s="4">
        <v>3877</v>
      </c>
      <c r="B3880" s="5">
        <v>38222.526024929699</v>
      </c>
      <c r="C3880" s="19">
        <v>-52.526652471628331</v>
      </c>
      <c r="D3880" s="5">
        <v>77577.874203265645</v>
      </c>
      <c r="E3880" s="6">
        <v>102.96375533283015</v>
      </c>
    </row>
    <row r="3881" spans="1:5" x14ac:dyDescent="0.3">
      <c r="A3881" s="4">
        <v>3878</v>
      </c>
      <c r="B3881" s="5">
        <v>118266.55757600076</v>
      </c>
      <c r="C3881" s="19">
        <v>46.890066478801948</v>
      </c>
      <c r="D3881" s="5">
        <v>238055.80247016557</v>
      </c>
      <c r="E3881" s="6">
        <v>101.28750455697127</v>
      </c>
    </row>
    <row r="3882" spans="1:5" x14ac:dyDescent="0.3">
      <c r="A3882" s="4">
        <v>3879</v>
      </c>
      <c r="B3882" s="5">
        <v>103909.94022306963</v>
      </c>
      <c r="C3882" s="19">
        <v>29.058783311304794</v>
      </c>
      <c r="D3882" s="5">
        <v>196491.60776433989</v>
      </c>
      <c r="E3882" s="6">
        <v>89.097989415179825</v>
      </c>
    </row>
    <row r="3883" spans="1:5" x14ac:dyDescent="0.3">
      <c r="A3883" s="4">
        <v>3880</v>
      </c>
      <c r="B3883" s="5">
        <v>37874.576153577305</v>
      </c>
      <c r="C3883" s="19">
        <v>-52.958815043887185</v>
      </c>
      <c r="D3883" s="5">
        <v>74130.504906373331</v>
      </c>
      <c r="E3883" s="6">
        <v>95.726295670695194</v>
      </c>
    </row>
    <row r="3884" spans="1:5" x14ac:dyDescent="0.3">
      <c r="A3884" s="4">
        <v>3881</v>
      </c>
      <c r="B3884" s="5">
        <v>40126.664210107796</v>
      </c>
      <c r="C3884" s="19">
        <v>-50.161664512746597</v>
      </c>
      <c r="D3884" s="5">
        <v>88082.055612122131</v>
      </c>
      <c r="E3884" s="6">
        <v>119.51003739287778</v>
      </c>
    </row>
    <row r="3885" spans="1:5" x14ac:dyDescent="0.3">
      <c r="A3885" s="4">
        <v>3882</v>
      </c>
      <c r="B3885" s="5">
        <v>105056.46810643181</v>
      </c>
      <c r="C3885" s="19">
        <v>30.482800044848801</v>
      </c>
      <c r="D3885" s="5">
        <v>213922.95823778369</v>
      </c>
      <c r="E3885" s="6">
        <v>103.62664202746676</v>
      </c>
    </row>
    <row r="3886" spans="1:5" x14ac:dyDescent="0.3">
      <c r="A3886" s="4">
        <v>3883</v>
      </c>
      <c r="B3886" s="5">
        <v>87350.811146567095</v>
      </c>
      <c r="C3886" s="19">
        <v>8.4919246766022241</v>
      </c>
      <c r="D3886" s="5">
        <v>151627.94689513004</v>
      </c>
      <c r="E3886" s="6">
        <v>73.585047356585477</v>
      </c>
    </row>
    <row r="3887" spans="1:5" x14ac:dyDescent="0.3">
      <c r="A3887" s="4">
        <v>3884</v>
      </c>
      <c r="B3887" s="5">
        <v>58411.927478051599</v>
      </c>
      <c r="C3887" s="19">
        <v>-27.450903397672917</v>
      </c>
      <c r="D3887" s="5">
        <v>111968.45141777399</v>
      </c>
      <c r="E3887" s="6">
        <v>91.687650539945579</v>
      </c>
    </row>
    <row r="3888" spans="1:5" x14ac:dyDescent="0.3">
      <c r="A3888" s="4">
        <v>3885</v>
      </c>
      <c r="B3888" s="5">
        <v>95142.495550460852</v>
      </c>
      <c r="C3888" s="19">
        <v>18.169394483181343</v>
      </c>
      <c r="D3888" s="5">
        <v>192257.98519536914</v>
      </c>
      <c r="E3888" s="6">
        <v>102.07372539792277</v>
      </c>
    </row>
    <row r="3889" spans="1:5" x14ac:dyDescent="0.3">
      <c r="A3889" s="4">
        <v>3886</v>
      </c>
      <c r="B3889" s="5">
        <v>69982.723557986188</v>
      </c>
      <c r="C3889" s="19">
        <v>-13.079680963959742</v>
      </c>
      <c r="D3889" s="5">
        <v>134943.01641054533</v>
      </c>
      <c r="E3889" s="6">
        <v>92.82332774421738</v>
      </c>
    </row>
    <row r="3890" spans="1:5" x14ac:dyDescent="0.3">
      <c r="A3890" s="4">
        <v>3887</v>
      </c>
      <c r="B3890" s="5">
        <v>43410.731283005007</v>
      </c>
      <c r="C3890" s="19">
        <v>-46.082769848473333</v>
      </c>
      <c r="D3890" s="5">
        <v>82228.407913608564</v>
      </c>
      <c r="E3890" s="6">
        <v>89.419540936875222</v>
      </c>
    </row>
    <row r="3891" spans="1:5" x14ac:dyDescent="0.3">
      <c r="A3891" s="4">
        <v>3888</v>
      </c>
      <c r="B3891" s="5">
        <v>72142.246658892254</v>
      </c>
      <c r="C3891" s="19">
        <v>-10.397498457288295</v>
      </c>
      <c r="D3891" s="5">
        <v>126946.27254204283</v>
      </c>
      <c r="E3891" s="6">
        <v>75.966619312922973</v>
      </c>
    </row>
    <row r="3892" spans="1:5" x14ac:dyDescent="0.3">
      <c r="A3892" s="4">
        <v>3889</v>
      </c>
      <c r="B3892" s="5">
        <v>94881.353088258969</v>
      </c>
      <c r="C3892" s="19">
        <v>17.845048916526778</v>
      </c>
      <c r="D3892" s="5">
        <v>182671.39883737659</v>
      </c>
      <c r="E3892" s="6">
        <v>92.526131733655831</v>
      </c>
    </row>
    <row r="3893" spans="1:5" x14ac:dyDescent="0.3">
      <c r="A3893" s="4">
        <v>3890</v>
      </c>
      <c r="B3893" s="5">
        <v>63245.982634427397</v>
      </c>
      <c r="C3893" s="19">
        <v>-21.44688419024882</v>
      </c>
      <c r="D3893" s="5">
        <v>113732.6180796679</v>
      </c>
      <c r="E3893" s="6">
        <v>79.825837693220606</v>
      </c>
    </row>
    <row r="3894" spans="1:5" x14ac:dyDescent="0.3">
      <c r="A3894" s="4">
        <v>3891</v>
      </c>
      <c r="B3894" s="5">
        <v>47121.875373645693</v>
      </c>
      <c r="C3894" s="19">
        <v>-41.473434687632874</v>
      </c>
      <c r="D3894" s="5">
        <v>84846.608165656682</v>
      </c>
      <c r="E3894" s="6">
        <v>80.0577916156318</v>
      </c>
    </row>
    <row r="3895" spans="1:5" x14ac:dyDescent="0.3">
      <c r="A3895" s="4">
        <v>3892</v>
      </c>
      <c r="B3895" s="5">
        <v>92995.71853054782</v>
      </c>
      <c r="C3895" s="19">
        <v>15.503042932638031</v>
      </c>
      <c r="D3895" s="5">
        <v>168748.83732235193</v>
      </c>
      <c r="E3895" s="6">
        <v>81.458716582656706</v>
      </c>
    </row>
    <row r="3896" spans="1:5" x14ac:dyDescent="0.3">
      <c r="A3896" s="4">
        <v>3893</v>
      </c>
      <c r="B3896" s="5">
        <v>78283.838485659711</v>
      </c>
      <c r="C3896" s="19">
        <v>-2.7694855159307719</v>
      </c>
      <c r="D3896" s="5">
        <v>151784.42672120998</v>
      </c>
      <c r="E3896" s="6">
        <v>93.889862399905638</v>
      </c>
    </row>
    <row r="3897" spans="1:5" x14ac:dyDescent="0.3">
      <c r="A3897" s="4">
        <v>3894</v>
      </c>
      <c r="B3897" s="5">
        <v>42401.15387653072</v>
      </c>
      <c r="C3897" s="19">
        <v>-47.336690613497758</v>
      </c>
      <c r="D3897" s="5">
        <v>76439.364100280523</v>
      </c>
      <c r="E3897" s="6">
        <v>80.276613044226949</v>
      </c>
    </row>
    <row r="3898" spans="1:5" x14ac:dyDescent="0.3">
      <c r="A3898" s="4">
        <v>3895</v>
      </c>
      <c r="B3898" s="5">
        <v>37326.388362317652</v>
      </c>
      <c r="C3898" s="19">
        <v>-53.639678195325843</v>
      </c>
      <c r="D3898" s="5">
        <v>71945.072247029791</v>
      </c>
      <c r="E3898" s="6">
        <v>92.745870692544585</v>
      </c>
    </row>
    <row r="3899" spans="1:5" x14ac:dyDescent="0.3">
      <c r="A3899" s="4">
        <v>3896</v>
      </c>
      <c r="B3899" s="5">
        <v>41593.084191076923</v>
      </c>
      <c r="C3899" s="19">
        <v>-48.340333674128274</v>
      </c>
      <c r="D3899" s="5">
        <v>84145.905925927102</v>
      </c>
      <c r="E3899" s="6">
        <v>102.30744500543469</v>
      </c>
    </row>
    <row r="3900" spans="1:5" x14ac:dyDescent="0.3">
      <c r="A3900" s="4">
        <v>3897</v>
      </c>
      <c r="B3900" s="5">
        <v>54110.647205657624</v>
      </c>
      <c r="C3900" s="19">
        <v>-32.793202675724459</v>
      </c>
      <c r="D3900" s="5">
        <v>114132.70638076503</v>
      </c>
      <c r="E3900" s="6">
        <v>110.92467430112664</v>
      </c>
    </row>
    <row r="3901" spans="1:5" x14ac:dyDescent="0.3">
      <c r="A3901" s="4">
        <v>3898</v>
      </c>
      <c r="B3901" s="5">
        <v>52323.148581045854</v>
      </c>
      <c r="C3901" s="19">
        <v>-35.013321339711609</v>
      </c>
      <c r="D3901" s="5">
        <v>104264.76126521225</v>
      </c>
      <c r="E3901" s="6">
        <v>99.270808605318379</v>
      </c>
    </row>
    <row r="3902" spans="1:5" x14ac:dyDescent="0.3">
      <c r="A3902" s="4">
        <v>3899</v>
      </c>
      <c r="B3902" s="5">
        <v>101666.49277337517</v>
      </c>
      <c r="C3902" s="19">
        <v>26.272364633179755</v>
      </c>
      <c r="D3902" s="5">
        <v>182174.85192880308</v>
      </c>
      <c r="E3902" s="6">
        <v>79.188685435317552</v>
      </c>
    </row>
    <row r="3903" spans="1:5" x14ac:dyDescent="0.3">
      <c r="A3903" s="4">
        <v>3900</v>
      </c>
      <c r="B3903" s="5">
        <v>61602.114562279909</v>
      </c>
      <c r="C3903" s="19">
        <v>-23.488610062289624</v>
      </c>
      <c r="D3903" s="5">
        <v>126371.36665050559</v>
      </c>
      <c r="E3903" s="6">
        <v>105.14128053630982</v>
      </c>
    </row>
    <row r="3904" spans="1:5" x14ac:dyDescent="0.3">
      <c r="A3904" s="4">
        <v>3901</v>
      </c>
      <c r="B3904" s="5">
        <v>77330.209639001172</v>
      </c>
      <c r="C3904" s="19">
        <v>-3.9539167495173109</v>
      </c>
      <c r="D3904" s="5">
        <v>155415.68677334982</v>
      </c>
      <c r="E3904" s="6">
        <v>100.97667845318571</v>
      </c>
    </row>
    <row r="3905" spans="1:5" x14ac:dyDescent="0.3">
      <c r="A3905" s="4">
        <v>3902</v>
      </c>
      <c r="B3905" s="5">
        <v>60911.081246726942</v>
      </c>
      <c r="C3905" s="19">
        <v>-24.346890980759856</v>
      </c>
      <c r="D3905" s="5">
        <v>110842.05311180229</v>
      </c>
      <c r="E3905" s="6">
        <v>81.973543800387532</v>
      </c>
    </row>
    <row r="3906" spans="1:5" x14ac:dyDescent="0.3">
      <c r="A3906" s="4">
        <v>3903</v>
      </c>
      <c r="B3906" s="5">
        <v>44080.10028772091</v>
      </c>
      <c r="C3906" s="19">
        <v>-45.251396553969656</v>
      </c>
      <c r="D3906" s="5">
        <v>93499.694195598218</v>
      </c>
      <c r="E3906" s="6">
        <v>112.11316123444435</v>
      </c>
    </row>
    <row r="3907" spans="1:5" x14ac:dyDescent="0.3">
      <c r="A3907" s="4">
        <v>3904</v>
      </c>
      <c r="B3907" s="5">
        <v>35369.070667639855</v>
      </c>
      <c r="C3907" s="19">
        <v>-56.070716454865924</v>
      </c>
      <c r="D3907" s="5">
        <v>59924.818026654015</v>
      </c>
      <c r="E3907" s="6">
        <v>69.427177179073851</v>
      </c>
    </row>
    <row r="3908" spans="1:5" x14ac:dyDescent="0.3">
      <c r="A3908" s="4">
        <v>3905</v>
      </c>
      <c r="B3908" s="5">
        <v>111578.74894241843</v>
      </c>
      <c r="C3908" s="19">
        <v>38.583638398715827</v>
      </c>
      <c r="D3908" s="5">
        <v>213176.9112965953</v>
      </c>
      <c r="E3908" s="6">
        <v>91.055118754385603</v>
      </c>
    </row>
    <row r="3909" spans="1:5" x14ac:dyDescent="0.3">
      <c r="A3909" s="4">
        <v>3906</v>
      </c>
      <c r="B3909" s="5">
        <v>84691.052496074786</v>
      </c>
      <c r="C3909" s="19">
        <v>5.1884369198260432</v>
      </c>
      <c r="D3909" s="5">
        <v>139798.54757896485</v>
      </c>
      <c r="E3909" s="6">
        <v>65.068851382434005</v>
      </c>
    </row>
    <row r="3910" spans="1:5" x14ac:dyDescent="0.3">
      <c r="A3910" s="4">
        <v>3907</v>
      </c>
      <c r="B3910" s="5">
        <v>32139.943077992255</v>
      </c>
      <c r="C3910" s="19">
        <v>-60.081374886409911</v>
      </c>
      <c r="D3910" s="5">
        <v>71666.319977813444</v>
      </c>
      <c r="E3910" s="6">
        <v>122.98209988706164</v>
      </c>
    </row>
    <row r="3911" spans="1:5" x14ac:dyDescent="0.3">
      <c r="A3911" s="4">
        <v>3908</v>
      </c>
      <c r="B3911" s="5">
        <v>50778.087099407887</v>
      </c>
      <c r="C3911" s="19">
        <v>-36.932326918324065</v>
      </c>
      <c r="D3911" s="5">
        <v>103830.66269360752</v>
      </c>
      <c r="E3911" s="6">
        <v>104.47927171880067</v>
      </c>
    </row>
    <row r="3912" spans="1:5" x14ac:dyDescent="0.3">
      <c r="A3912" s="4">
        <v>3909</v>
      </c>
      <c r="B3912" s="5">
        <v>55168.737517891939</v>
      </c>
      <c r="C3912" s="19">
        <v>-31.479027650339141</v>
      </c>
      <c r="D3912" s="5">
        <v>99638.779852571577</v>
      </c>
      <c r="E3912" s="6">
        <v>80.607322798092724</v>
      </c>
    </row>
    <row r="3913" spans="1:5" x14ac:dyDescent="0.3">
      <c r="A3913" s="4">
        <v>3910</v>
      </c>
      <c r="B3913" s="5">
        <v>81650.133662613065</v>
      </c>
      <c r="C3913" s="19">
        <v>1.4115385407827037</v>
      </c>
      <c r="D3913" s="5">
        <v>141168.84132482394</v>
      </c>
      <c r="E3913" s="6">
        <v>72.894807384086391</v>
      </c>
    </row>
    <row r="3914" spans="1:5" x14ac:dyDescent="0.3">
      <c r="A3914" s="4">
        <v>3911</v>
      </c>
      <c r="B3914" s="5">
        <v>69465.988053148598</v>
      </c>
      <c r="C3914" s="19">
        <v>-13.721479577306322</v>
      </c>
      <c r="D3914" s="5">
        <v>141185.37299193683</v>
      </c>
      <c r="E3914" s="6">
        <v>103.24388517142455</v>
      </c>
    </row>
    <row r="3915" spans="1:5" x14ac:dyDescent="0.3">
      <c r="A3915" s="4">
        <v>3912</v>
      </c>
      <c r="B3915" s="5">
        <v>25591.944356100998</v>
      </c>
      <c r="C3915" s="19">
        <v>-68.21415550736964</v>
      </c>
      <c r="D3915" s="5">
        <v>52458.688457509161</v>
      </c>
      <c r="E3915" s="6">
        <v>104.9812539741759</v>
      </c>
    </row>
    <row r="3916" spans="1:5" x14ac:dyDescent="0.3">
      <c r="A3916" s="4">
        <v>3913</v>
      </c>
      <c r="B3916" s="5">
        <v>85516.272531958355</v>
      </c>
      <c r="C3916" s="19">
        <v>6.2133811510190435</v>
      </c>
      <c r="D3916" s="5">
        <v>134949.45214151341</v>
      </c>
      <c r="E3916" s="6">
        <v>57.805582663909185</v>
      </c>
    </row>
    <row r="3917" spans="1:5" x14ac:dyDescent="0.3">
      <c r="A3917" s="4">
        <v>3914</v>
      </c>
      <c r="B3917" s="5">
        <v>106062.95030685779</v>
      </c>
      <c r="C3917" s="19">
        <v>31.732876485395366</v>
      </c>
      <c r="D3917" s="5">
        <v>167235.60770079819</v>
      </c>
      <c r="E3917" s="6">
        <v>57.675802169332194</v>
      </c>
    </row>
    <row r="3918" spans="1:5" x14ac:dyDescent="0.3">
      <c r="A3918" s="4">
        <v>3915</v>
      </c>
      <c r="B3918" s="5">
        <v>79167.027401684434</v>
      </c>
      <c r="C3918" s="19">
        <v>-1.6725424641737774</v>
      </c>
      <c r="D3918" s="5">
        <v>134541.04871566009</v>
      </c>
      <c r="E3918" s="6">
        <v>69.945813467283799</v>
      </c>
    </row>
    <row r="3919" spans="1:5" x14ac:dyDescent="0.3">
      <c r="A3919" s="4">
        <v>3916</v>
      </c>
      <c r="B3919" s="5">
        <v>40697.446293573135</v>
      </c>
      <c r="C3919" s="19">
        <v>-49.452738676875754</v>
      </c>
      <c r="D3919" s="5">
        <v>80702.564535957994</v>
      </c>
      <c r="E3919" s="6">
        <v>98.298841538621033</v>
      </c>
    </row>
    <row r="3920" spans="1:5" x14ac:dyDescent="0.3">
      <c r="A3920" s="4">
        <v>3917</v>
      </c>
      <c r="B3920" s="5">
        <v>42347.626424720096</v>
      </c>
      <c r="C3920" s="19">
        <v>-47.403173067338109</v>
      </c>
      <c r="D3920" s="5">
        <v>79111.229282113723</v>
      </c>
      <c r="E3920" s="6">
        <v>86.813845216914359</v>
      </c>
    </row>
    <row r="3921" spans="1:5" x14ac:dyDescent="0.3">
      <c r="A3921" s="4">
        <v>3918</v>
      </c>
      <c r="B3921" s="5">
        <v>52643.966654419906</v>
      </c>
      <c r="C3921" s="19">
        <v>-34.614857149230438</v>
      </c>
      <c r="D3921" s="5">
        <v>110007.65491905742</v>
      </c>
      <c r="E3921" s="6">
        <v>108.96536091438568</v>
      </c>
    </row>
    <row r="3922" spans="1:5" x14ac:dyDescent="0.3">
      <c r="A3922" s="4">
        <v>3919</v>
      </c>
      <c r="B3922" s="5">
        <v>63664.533521887228</v>
      </c>
      <c r="C3922" s="19">
        <v>-20.927033363913342</v>
      </c>
      <c r="D3922" s="5">
        <v>118772.46807281415</v>
      </c>
      <c r="E3922" s="6">
        <v>86.559865442163925</v>
      </c>
    </row>
    <row r="3923" spans="1:5" x14ac:dyDescent="0.3">
      <c r="A3923" s="4">
        <v>3920</v>
      </c>
      <c r="B3923" s="5">
        <v>117709.82201641188</v>
      </c>
      <c r="C3923" s="19">
        <v>46.198586782129702</v>
      </c>
      <c r="D3923" s="5">
        <v>228291.76908508642</v>
      </c>
      <c r="E3923" s="6">
        <v>93.944536806160883</v>
      </c>
    </row>
    <row r="3924" spans="1:5" x14ac:dyDescent="0.3">
      <c r="A3924" s="4">
        <v>3921</v>
      </c>
      <c r="B3924" s="5">
        <v>68008.420908267013</v>
      </c>
      <c r="C3924" s="19">
        <v>-15.531814968791668</v>
      </c>
      <c r="D3924" s="5">
        <v>137271.00295089436</v>
      </c>
      <c r="E3924" s="6">
        <v>101.84412623850214</v>
      </c>
    </row>
    <row r="3925" spans="1:5" x14ac:dyDescent="0.3">
      <c r="A3925" s="4">
        <v>3922</v>
      </c>
      <c r="B3925" s="5">
        <v>107200.49119056735</v>
      </c>
      <c r="C3925" s="19">
        <v>33.145731137253101</v>
      </c>
      <c r="D3925" s="5">
        <v>192829.64176086133</v>
      </c>
      <c r="E3925" s="6">
        <v>79.877572965662452</v>
      </c>
    </row>
    <row r="3926" spans="1:5" x14ac:dyDescent="0.3">
      <c r="A3926" s="4">
        <v>3923</v>
      </c>
      <c r="B3926" s="5">
        <v>59555.517231955731</v>
      </c>
      <c r="C3926" s="19">
        <v>-26.030535895494577</v>
      </c>
      <c r="D3926" s="5">
        <v>90861.26044789658</v>
      </c>
      <c r="E3926" s="6">
        <v>52.565647434496817</v>
      </c>
    </row>
    <row r="3927" spans="1:5" x14ac:dyDescent="0.3">
      <c r="A3927" s="4">
        <v>3924</v>
      </c>
      <c r="B3927" s="5">
        <v>31116.463995095903</v>
      </c>
      <c r="C3927" s="19">
        <v>-61.352561886417888</v>
      </c>
      <c r="D3927" s="5">
        <v>63709.095030692872</v>
      </c>
      <c r="E3927" s="6">
        <v>104.74400639074453</v>
      </c>
    </row>
    <row r="3928" spans="1:5" x14ac:dyDescent="0.3">
      <c r="A3928" s="4">
        <v>3925</v>
      </c>
      <c r="B3928" s="5">
        <v>84512.105216325028</v>
      </c>
      <c r="C3928" s="19">
        <v>4.9661798561438522</v>
      </c>
      <c r="D3928" s="5">
        <v>161867.88624890163</v>
      </c>
      <c r="E3928" s="6">
        <v>91.532190370325722</v>
      </c>
    </row>
    <row r="3929" spans="1:5" x14ac:dyDescent="0.3">
      <c r="A3929" s="4">
        <v>3926</v>
      </c>
      <c r="B3929" s="5">
        <v>112725.23572626361</v>
      </c>
      <c r="C3929" s="19">
        <v>40.007604085616485</v>
      </c>
      <c r="D3929" s="5">
        <v>217540.5137356476</v>
      </c>
      <c r="E3929" s="6">
        <v>92.982975226516487</v>
      </c>
    </row>
    <row r="3930" spans="1:5" x14ac:dyDescent="0.3">
      <c r="A3930" s="4">
        <v>3927</v>
      </c>
      <c r="B3930" s="5">
        <v>104539.19536330171</v>
      </c>
      <c r="C3930" s="19">
        <v>29.840334167906157</v>
      </c>
      <c r="D3930" s="5">
        <v>191374.16852287526</v>
      </c>
      <c r="E3930" s="6">
        <v>83.064512652693338</v>
      </c>
    </row>
    <row r="3931" spans="1:5" x14ac:dyDescent="0.3">
      <c r="A3931" s="4">
        <v>3928</v>
      </c>
      <c r="B3931" s="5">
        <v>57066.54708085789</v>
      </c>
      <c r="C3931" s="19">
        <v>-29.121900000884803</v>
      </c>
      <c r="D3931" s="5">
        <v>100912.68157764</v>
      </c>
      <c r="E3931" s="6">
        <v>76.833340616624824</v>
      </c>
    </row>
    <row r="3932" spans="1:5" x14ac:dyDescent="0.3">
      <c r="A3932" s="4">
        <v>3929</v>
      </c>
      <c r="B3932" s="5">
        <v>74511.696017612732</v>
      </c>
      <c r="C3932" s="19">
        <v>-7.4545822098365004</v>
      </c>
      <c r="D3932" s="5">
        <v>147112.65577347562</v>
      </c>
      <c r="E3932" s="6">
        <v>97.435655925348698</v>
      </c>
    </row>
    <row r="3933" spans="1:5" x14ac:dyDescent="0.3">
      <c r="A3933" s="4">
        <v>3930</v>
      </c>
      <c r="B3933" s="5">
        <v>88049.551825719274</v>
      </c>
      <c r="C3933" s="19">
        <v>9.3597783362992981</v>
      </c>
      <c r="D3933" s="5">
        <v>158743.00290249827</v>
      </c>
      <c r="E3933" s="6">
        <v>80.288257703691613</v>
      </c>
    </row>
    <row r="3934" spans="1:5" x14ac:dyDescent="0.3">
      <c r="A3934" s="4">
        <v>3931</v>
      </c>
      <c r="B3934" s="5">
        <v>109037.98647474746</v>
      </c>
      <c r="C3934" s="19">
        <v>35.427946921493302</v>
      </c>
      <c r="D3934" s="5">
        <v>183938.79898955976</v>
      </c>
      <c r="E3934" s="6">
        <v>68.692402470361884</v>
      </c>
    </row>
    <row r="3935" spans="1:5" x14ac:dyDescent="0.3">
      <c r="A3935" s="4">
        <v>3932</v>
      </c>
      <c r="B3935" s="5">
        <v>47697.940142892025</v>
      </c>
      <c r="C3935" s="19">
        <v>-40.757947621931208</v>
      </c>
      <c r="D3935" s="5">
        <v>93681.405194000501</v>
      </c>
      <c r="E3935" s="6">
        <v>96.40555737491519</v>
      </c>
    </row>
    <row r="3936" spans="1:5" x14ac:dyDescent="0.3">
      <c r="A3936" s="4">
        <v>3933</v>
      </c>
      <c r="B3936" s="5">
        <v>33889.604779766065</v>
      </c>
      <c r="C3936" s="19">
        <v>-57.908250641005118</v>
      </c>
      <c r="D3936" s="5">
        <v>72675.463184767534</v>
      </c>
      <c r="E3936" s="6">
        <v>114.44765631542194</v>
      </c>
    </row>
    <row r="3937" spans="1:5" x14ac:dyDescent="0.3">
      <c r="A3937" s="4">
        <v>3934</v>
      </c>
      <c r="B3937" s="5">
        <v>234504.05456671061</v>
      </c>
      <c r="C3937" s="19">
        <v>191.25998820686686</v>
      </c>
      <c r="D3937" s="5">
        <v>463922.99382111459</v>
      </c>
      <c r="E3937" s="6">
        <v>97.831544822667439</v>
      </c>
    </row>
    <row r="3938" spans="1:5" x14ac:dyDescent="0.3">
      <c r="A3938" s="4">
        <v>3935</v>
      </c>
      <c r="B3938" s="5">
        <v>64180.771821805705</v>
      </c>
      <c r="C3938" s="19">
        <v>-20.285852291696891</v>
      </c>
      <c r="D3938" s="5">
        <v>108547.77588615667</v>
      </c>
      <c r="E3938" s="6">
        <v>69.128187157881882</v>
      </c>
    </row>
    <row r="3939" spans="1:5" x14ac:dyDescent="0.3">
      <c r="A3939" s="4">
        <v>3936</v>
      </c>
      <c r="B3939" s="5">
        <v>81580.958392205503</v>
      </c>
      <c r="C3939" s="19">
        <v>1.3256210990551369</v>
      </c>
      <c r="D3939" s="5">
        <v>145760.21852674504</v>
      </c>
      <c r="E3939" s="6">
        <v>78.669411832591834</v>
      </c>
    </row>
    <row r="3940" spans="1:5" x14ac:dyDescent="0.3">
      <c r="A3940" s="4">
        <v>3937</v>
      </c>
      <c r="B3940" s="5">
        <v>61286.245778689197</v>
      </c>
      <c r="C3940" s="19">
        <v>-23.880927109231671</v>
      </c>
      <c r="D3940" s="5">
        <v>127416.50787557475</v>
      </c>
      <c r="E3940" s="6">
        <v>107.90392078458942</v>
      </c>
    </row>
    <row r="3941" spans="1:5" x14ac:dyDescent="0.3">
      <c r="A3941" s="4">
        <v>3938</v>
      </c>
      <c r="B3941" s="5">
        <v>54235.741737703254</v>
      </c>
      <c r="C3941" s="19">
        <v>-32.63783209163936</v>
      </c>
      <c r="D3941" s="5">
        <v>100920.78735957207</v>
      </c>
      <c r="E3941" s="6">
        <v>86.07800709659071</v>
      </c>
    </row>
    <row r="3942" spans="1:5" x14ac:dyDescent="0.3">
      <c r="A3942" s="4">
        <v>3939</v>
      </c>
      <c r="B3942" s="5">
        <v>73708.470677632169</v>
      </c>
      <c r="C3942" s="19">
        <v>-8.452208470424857</v>
      </c>
      <c r="D3942" s="5">
        <v>140900.4035580575</v>
      </c>
      <c r="E3942" s="6">
        <v>91.159038116925188</v>
      </c>
    </row>
    <row r="3943" spans="1:5" x14ac:dyDescent="0.3">
      <c r="A3943" s="4">
        <v>3940</v>
      </c>
      <c r="B3943" s="5">
        <v>34199.38881969708</v>
      </c>
      <c r="C3943" s="19">
        <v>-57.523491000137952</v>
      </c>
      <c r="D3943" s="5">
        <v>72020.83848980222</v>
      </c>
      <c r="E3943" s="6">
        <v>110.59101046952611</v>
      </c>
    </row>
    <row r="3944" spans="1:5" x14ac:dyDescent="0.3">
      <c r="A3944" s="4">
        <v>3941</v>
      </c>
      <c r="B3944" s="5">
        <v>149771.66062121547</v>
      </c>
      <c r="C3944" s="19">
        <v>86.020204157487441</v>
      </c>
      <c r="D3944" s="5">
        <v>255568.55131688525</v>
      </c>
      <c r="E3944" s="6">
        <v>70.638791248525038</v>
      </c>
    </row>
    <row r="3945" spans="1:5" x14ac:dyDescent="0.3">
      <c r="A3945" s="4">
        <v>3942</v>
      </c>
      <c r="B3945" s="5">
        <v>43008.174851376498</v>
      </c>
      <c r="C3945" s="19">
        <v>-46.58275515467777</v>
      </c>
      <c r="D3945" s="5">
        <v>86339.856548213997</v>
      </c>
      <c r="E3945" s="6">
        <v>100.75219849849231</v>
      </c>
    </row>
    <row r="3946" spans="1:5" x14ac:dyDescent="0.3">
      <c r="A3946" s="4">
        <v>3943</v>
      </c>
      <c r="B3946" s="5">
        <v>35429.265248560456</v>
      </c>
      <c r="C3946" s="19">
        <v>-55.995953257438714</v>
      </c>
      <c r="D3946" s="5">
        <v>68802.425061337999</v>
      </c>
      <c r="E3946" s="6">
        <v>94.196590244370213</v>
      </c>
    </row>
    <row r="3947" spans="1:5" x14ac:dyDescent="0.3">
      <c r="A3947" s="4">
        <v>3944</v>
      </c>
      <c r="B3947" s="5">
        <v>107511.09565357833</v>
      </c>
      <c r="C3947" s="19">
        <v>33.531509764410451</v>
      </c>
      <c r="D3947" s="5">
        <v>184620.4294601515</v>
      </c>
      <c r="E3947" s="6">
        <v>71.722210008011118</v>
      </c>
    </row>
    <row r="3948" spans="1:5" x14ac:dyDescent="0.3">
      <c r="A3948" s="4">
        <v>3945</v>
      </c>
      <c r="B3948" s="5">
        <v>49518.070430335109</v>
      </c>
      <c r="C3948" s="19">
        <v>-38.497299604415488</v>
      </c>
      <c r="D3948" s="5">
        <v>107546.43857076838</v>
      </c>
      <c r="E3948" s="6">
        <v>117.18624662903807</v>
      </c>
    </row>
    <row r="3949" spans="1:5" x14ac:dyDescent="0.3">
      <c r="A3949" s="4">
        <v>3946</v>
      </c>
      <c r="B3949" s="5">
        <v>76248.972423957268</v>
      </c>
      <c r="C3949" s="19">
        <v>-5.296840815731807</v>
      </c>
      <c r="D3949" s="5">
        <v>139788.78917452192</v>
      </c>
      <c r="E3949" s="6">
        <v>83.332030230220624</v>
      </c>
    </row>
    <row r="3950" spans="1:5" x14ac:dyDescent="0.3">
      <c r="A3950" s="4">
        <v>3947</v>
      </c>
      <c r="B3950" s="5">
        <v>64060.802372396982</v>
      </c>
      <c r="C3950" s="19">
        <v>-20.434857393056571</v>
      </c>
      <c r="D3950" s="5">
        <v>114900.44912690652</v>
      </c>
      <c r="E3950" s="6">
        <v>79.361551638035237</v>
      </c>
    </row>
    <row r="3951" spans="1:5" x14ac:dyDescent="0.3">
      <c r="A3951" s="4">
        <v>3948</v>
      </c>
      <c r="B3951" s="5">
        <v>174018.79055569493</v>
      </c>
      <c r="C3951" s="19">
        <v>116.13575500293274</v>
      </c>
      <c r="D3951" s="5">
        <v>301943.15085019422</v>
      </c>
      <c r="E3951" s="6">
        <v>73.511808630549552</v>
      </c>
    </row>
    <row r="3952" spans="1:5" x14ac:dyDescent="0.3">
      <c r="A3952" s="4">
        <v>3949</v>
      </c>
      <c r="B3952" s="5">
        <v>50384.610757286537</v>
      </c>
      <c r="C3952" s="19">
        <v>-37.421034522879978</v>
      </c>
      <c r="D3952" s="5">
        <v>101955.61618883887</v>
      </c>
      <c r="E3952" s="6">
        <v>102.35467666899505</v>
      </c>
    </row>
    <row r="3953" spans="1:5" x14ac:dyDescent="0.3">
      <c r="A3953" s="4">
        <v>3950</v>
      </c>
      <c r="B3953" s="5">
        <v>50181.817211457957</v>
      </c>
      <c r="C3953" s="19">
        <v>-37.672909254323727</v>
      </c>
      <c r="D3953" s="5">
        <v>111037.93872088408</v>
      </c>
      <c r="E3953" s="6">
        <v>121.2712589761116</v>
      </c>
    </row>
    <row r="3954" spans="1:5" x14ac:dyDescent="0.3">
      <c r="A3954" s="4">
        <v>3951</v>
      </c>
      <c r="B3954" s="5">
        <v>78296.602359665165</v>
      </c>
      <c r="C3954" s="19">
        <v>-2.7536324604295723</v>
      </c>
      <c r="D3954" s="5">
        <v>139786.63972819643</v>
      </c>
      <c r="E3954" s="6">
        <v>78.534745461966722</v>
      </c>
    </row>
    <row r="3955" spans="1:5" x14ac:dyDescent="0.3">
      <c r="A3955" s="4">
        <v>3952</v>
      </c>
      <c r="B3955" s="5">
        <v>73121.278394022753</v>
      </c>
      <c r="C3955" s="19">
        <v>-9.1815161914160512</v>
      </c>
      <c r="D3955" s="5">
        <v>143026.83066959964</v>
      </c>
      <c r="E3955" s="6">
        <v>95.602202000466221</v>
      </c>
    </row>
    <row r="3956" spans="1:5" x14ac:dyDescent="0.3">
      <c r="A3956" s="4">
        <v>3953</v>
      </c>
      <c r="B3956" s="5">
        <v>73639.635882603019</v>
      </c>
      <c r="C3956" s="19">
        <v>-8.5377030330901231</v>
      </c>
      <c r="D3956" s="5">
        <v>142010.34687020947</v>
      </c>
      <c r="E3956" s="6">
        <v>92.844987849483203</v>
      </c>
    </row>
    <row r="3957" spans="1:5" x14ac:dyDescent="0.3">
      <c r="A3957" s="4">
        <v>3954</v>
      </c>
      <c r="B3957" s="5">
        <v>40915.297797982967</v>
      </c>
      <c r="C3957" s="19">
        <v>-49.182161578656732</v>
      </c>
      <c r="D3957" s="5">
        <v>78141.930621289372</v>
      </c>
      <c r="E3957" s="6">
        <v>90.984631242599917</v>
      </c>
    </row>
    <row r="3958" spans="1:5" x14ac:dyDescent="0.3">
      <c r="A3958" s="4">
        <v>3955</v>
      </c>
      <c r="B3958" s="5">
        <v>57634.616369813375</v>
      </c>
      <c r="C3958" s="19">
        <v>-28.416343524654287</v>
      </c>
      <c r="D3958" s="5">
        <v>112805.59584106223</v>
      </c>
      <c r="E3958" s="6">
        <v>95.725421537021148</v>
      </c>
    </row>
    <row r="3959" spans="1:5" x14ac:dyDescent="0.3">
      <c r="A3959" s="4">
        <v>3956</v>
      </c>
      <c r="B3959" s="5">
        <v>40542.382688039084</v>
      </c>
      <c r="C3959" s="19">
        <v>-49.645331610940843</v>
      </c>
      <c r="D3959" s="5">
        <v>85390.434016150626</v>
      </c>
      <c r="E3959" s="6">
        <v>110.62016673564361</v>
      </c>
    </row>
    <row r="3960" spans="1:5" x14ac:dyDescent="0.3">
      <c r="A3960" s="4">
        <v>3957</v>
      </c>
      <c r="B3960" s="5">
        <v>77387.198177622558</v>
      </c>
      <c r="C3960" s="19">
        <v>-3.8831355380049546</v>
      </c>
      <c r="D3960" s="5">
        <v>150229.08729169559</v>
      </c>
      <c r="E3960" s="6">
        <v>94.126536209365099</v>
      </c>
    </row>
    <row r="3961" spans="1:5" x14ac:dyDescent="0.3">
      <c r="A3961" s="4">
        <v>3958</v>
      </c>
      <c r="B3961" s="5">
        <v>61600.924775121748</v>
      </c>
      <c r="C3961" s="19">
        <v>-23.490087808140522</v>
      </c>
      <c r="D3961" s="5">
        <v>106051.52048827811</v>
      </c>
      <c r="E3961" s="6">
        <v>72.15897468329608</v>
      </c>
    </row>
    <row r="3962" spans="1:5" x14ac:dyDescent="0.3">
      <c r="A3962" s="4">
        <v>3959</v>
      </c>
      <c r="B3962" s="5">
        <v>51740.858987778251</v>
      </c>
      <c r="C3962" s="19">
        <v>-35.736539794852888</v>
      </c>
      <c r="D3962" s="5">
        <v>106837.43492114941</v>
      </c>
      <c r="E3962" s="6">
        <v>106.48562279645486</v>
      </c>
    </row>
    <row r="3963" spans="1:5" x14ac:dyDescent="0.3">
      <c r="A3963" s="4">
        <v>3960</v>
      </c>
      <c r="B3963" s="5">
        <v>67019.581033740105</v>
      </c>
      <c r="C3963" s="19">
        <v>-16.759979192755033</v>
      </c>
      <c r="D3963" s="5">
        <v>132534.54552218033</v>
      </c>
      <c r="E3963" s="6">
        <v>97.754959786241571</v>
      </c>
    </row>
    <row r="3964" spans="1:5" x14ac:dyDescent="0.3">
      <c r="A3964" s="4">
        <v>3961</v>
      </c>
      <c r="B3964" s="5">
        <v>62311.70945126388</v>
      </c>
      <c r="C3964" s="19">
        <v>-22.607275198468198</v>
      </c>
      <c r="D3964" s="5">
        <v>129221.32734707325</v>
      </c>
      <c r="E3964" s="6">
        <v>107.37888349563205</v>
      </c>
    </row>
    <row r="3965" spans="1:5" x14ac:dyDescent="0.3">
      <c r="A3965" s="4">
        <v>3962</v>
      </c>
      <c r="B3965" s="5">
        <v>57524.787808659887</v>
      </c>
      <c r="C3965" s="19">
        <v>-28.552753385393999</v>
      </c>
      <c r="D3965" s="5">
        <v>121181.55972482511</v>
      </c>
      <c r="E3965" s="6">
        <v>110.65972486139657</v>
      </c>
    </row>
    <row r="3966" spans="1:5" x14ac:dyDescent="0.3">
      <c r="A3966" s="4">
        <v>3963</v>
      </c>
      <c r="B3966" s="5">
        <v>47518.120616020809</v>
      </c>
      <c r="C3966" s="19">
        <v>-40.981288038678564</v>
      </c>
      <c r="D3966" s="5">
        <v>90983.550323831296</v>
      </c>
      <c r="E3966" s="6">
        <v>91.471272736228642</v>
      </c>
    </row>
    <row r="3967" spans="1:5" x14ac:dyDescent="0.3">
      <c r="A3967" s="4">
        <v>3964</v>
      </c>
      <c r="B3967" s="5">
        <v>42162.517714705995</v>
      </c>
      <c r="C3967" s="19">
        <v>-47.633082783804689</v>
      </c>
      <c r="D3967" s="5">
        <v>90433.227688633109</v>
      </c>
      <c r="E3967" s="6">
        <v>114.4872569056535</v>
      </c>
    </row>
    <row r="3968" spans="1:5" x14ac:dyDescent="0.3">
      <c r="A3968" s="4">
        <v>3965</v>
      </c>
      <c r="B3968" s="5">
        <v>52418.379602100613</v>
      </c>
      <c r="C3968" s="19">
        <v>-34.895041994305039</v>
      </c>
      <c r="D3968" s="5">
        <v>104975.70166610727</v>
      </c>
      <c r="E3968" s="6">
        <v>100.2650643971842</v>
      </c>
    </row>
    <row r="3969" spans="1:5" x14ac:dyDescent="0.3">
      <c r="A3969" s="4">
        <v>3966</v>
      </c>
      <c r="B3969" s="5">
        <v>54886.625748472623</v>
      </c>
      <c r="C3969" s="19">
        <v>-31.829417628823347</v>
      </c>
      <c r="D3969" s="5">
        <v>115197.04375954022</v>
      </c>
      <c r="E3969" s="6">
        <v>109.88181034747961</v>
      </c>
    </row>
    <row r="3970" spans="1:5" x14ac:dyDescent="0.3">
      <c r="A3970" s="4">
        <v>3967</v>
      </c>
      <c r="B3970" s="5">
        <v>33880.82735284813</v>
      </c>
      <c r="C3970" s="19">
        <v>-57.919152428035318</v>
      </c>
      <c r="D3970" s="5">
        <v>70792.116744649713</v>
      </c>
      <c r="E3970" s="6">
        <v>108.94447472428297</v>
      </c>
    </row>
    <row r="3971" spans="1:5" x14ac:dyDescent="0.3">
      <c r="A3971" s="4">
        <v>3968</v>
      </c>
      <c r="B3971" s="5">
        <v>100329.46856008674</v>
      </c>
      <c r="C3971" s="19">
        <v>24.611746622483903</v>
      </c>
      <c r="D3971" s="5">
        <v>176162.78387513038</v>
      </c>
      <c r="E3971" s="6">
        <v>75.584288846927876</v>
      </c>
    </row>
    <row r="3972" spans="1:5" x14ac:dyDescent="0.3">
      <c r="A3972" s="4">
        <v>3969</v>
      </c>
      <c r="B3972" s="5">
        <v>41774.984965042444</v>
      </c>
      <c r="C3972" s="19">
        <v>-48.114408295661335</v>
      </c>
      <c r="D3972" s="5">
        <v>84406.938075181984</v>
      </c>
      <c r="E3972" s="6">
        <v>102.05139067270572</v>
      </c>
    </row>
    <row r="3973" spans="1:5" x14ac:dyDescent="0.3">
      <c r="A3973" s="4">
        <v>3970</v>
      </c>
      <c r="B3973" s="5">
        <v>120587.00514632395</v>
      </c>
      <c r="C3973" s="19">
        <v>49.772121261248024</v>
      </c>
      <c r="D3973" s="5">
        <v>231021.26256910298</v>
      </c>
      <c r="E3973" s="6">
        <v>91.580562340672387</v>
      </c>
    </row>
    <row r="3974" spans="1:5" x14ac:dyDescent="0.3">
      <c r="A3974" s="4">
        <v>3971</v>
      </c>
      <c r="B3974" s="5">
        <v>70165.94801705773</v>
      </c>
      <c r="C3974" s="19">
        <v>-12.852111534991911</v>
      </c>
      <c r="D3974" s="5">
        <v>133259.78637792286</v>
      </c>
      <c r="E3974" s="6">
        <v>89.920880632193089</v>
      </c>
    </row>
    <row r="3975" spans="1:5" x14ac:dyDescent="0.3">
      <c r="A3975" s="4">
        <v>3972</v>
      </c>
      <c r="B3975" s="5">
        <v>125080.5288764899</v>
      </c>
      <c r="C3975" s="19">
        <v>55.353191793583299</v>
      </c>
      <c r="D3975" s="5">
        <v>210698.21094077145</v>
      </c>
      <c r="E3975" s="6">
        <v>68.450048007731297</v>
      </c>
    </row>
    <row r="3976" spans="1:5" x14ac:dyDescent="0.3">
      <c r="A3976" s="4">
        <v>3973</v>
      </c>
      <c r="B3976" s="5">
        <v>139097.29569400998</v>
      </c>
      <c r="C3976" s="19">
        <v>72.76237196964685</v>
      </c>
      <c r="D3976" s="5">
        <v>227148.0531555888</v>
      </c>
      <c r="E3976" s="6">
        <v>63.301559546689731</v>
      </c>
    </row>
    <row r="3977" spans="1:5" x14ac:dyDescent="0.3">
      <c r="A3977" s="4">
        <v>3974</v>
      </c>
      <c r="B3977" s="5">
        <v>69807.46610493651</v>
      </c>
      <c r="C3977" s="19">
        <v>-13.297355169221269</v>
      </c>
      <c r="D3977" s="5">
        <v>116828.62242820376</v>
      </c>
      <c r="E3977" s="6">
        <v>67.358348536220674</v>
      </c>
    </row>
    <row r="3978" spans="1:5" x14ac:dyDescent="0.3">
      <c r="A3978" s="4">
        <v>3975</v>
      </c>
      <c r="B3978" s="5">
        <v>113319.96791710466</v>
      </c>
      <c r="C3978" s="19">
        <v>40.746276562775428</v>
      </c>
      <c r="D3978" s="5">
        <v>206886.53746743096</v>
      </c>
      <c r="E3978" s="6">
        <v>82.56847515062104</v>
      </c>
    </row>
    <row r="3979" spans="1:5" x14ac:dyDescent="0.3">
      <c r="A3979" s="4">
        <v>3976</v>
      </c>
      <c r="B3979" s="5">
        <v>49795.523955560049</v>
      </c>
      <c r="C3979" s="19">
        <v>-38.152695283461277</v>
      </c>
      <c r="D3979" s="5">
        <v>82084.002477169546</v>
      </c>
      <c r="E3979" s="6">
        <v>64.842130289512184</v>
      </c>
    </row>
    <row r="3980" spans="1:5" x14ac:dyDescent="0.3">
      <c r="A3980" s="4">
        <v>3977</v>
      </c>
      <c r="B3980" s="5">
        <v>41847.364903660527</v>
      </c>
      <c r="C3980" s="19">
        <v>-48.02451057467195</v>
      </c>
      <c r="D3980" s="5">
        <v>67344.675819931552</v>
      </c>
      <c r="E3980" s="6">
        <v>60.92931054313695</v>
      </c>
    </row>
    <row r="3981" spans="1:5" x14ac:dyDescent="0.3">
      <c r="A3981" s="4">
        <v>3978</v>
      </c>
      <c r="B3981" s="5">
        <v>74396.19022999327</v>
      </c>
      <c r="C3981" s="19">
        <v>-7.5980433299524401</v>
      </c>
      <c r="D3981" s="5">
        <v>129241.10914732164</v>
      </c>
      <c r="E3981" s="6">
        <v>73.720063820173024</v>
      </c>
    </row>
    <row r="3982" spans="1:5" x14ac:dyDescent="0.3">
      <c r="A3982" s="4">
        <v>3979</v>
      </c>
      <c r="B3982" s="5">
        <v>87516.978473810173</v>
      </c>
      <c r="C3982" s="19">
        <v>8.6983087148765712</v>
      </c>
      <c r="D3982" s="5">
        <v>172901.38673266864</v>
      </c>
      <c r="E3982" s="6">
        <v>97.563249723492362</v>
      </c>
    </row>
    <row r="3983" spans="1:5" x14ac:dyDescent="0.3">
      <c r="A3983" s="4">
        <v>3980</v>
      </c>
      <c r="B3983" s="5">
        <v>61711.023116699471</v>
      </c>
      <c r="C3983" s="19">
        <v>-23.353342873266055</v>
      </c>
      <c r="D3983" s="5">
        <v>121542.97392154466</v>
      </c>
      <c r="E3983" s="6">
        <v>96.955045927044765</v>
      </c>
    </row>
    <row r="3984" spans="1:5" x14ac:dyDescent="0.3">
      <c r="A3984" s="4">
        <v>3981</v>
      </c>
      <c r="B3984" s="5">
        <v>76350.457398454615</v>
      </c>
      <c r="C3984" s="19">
        <v>-5.1707939014049469</v>
      </c>
      <c r="D3984" s="5">
        <v>123787.77417519742</v>
      </c>
      <c r="E3984" s="6">
        <v>62.131018455041989</v>
      </c>
    </row>
    <row r="3985" spans="1:5" x14ac:dyDescent="0.3">
      <c r="A3985" s="4">
        <v>3982</v>
      </c>
      <c r="B3985" s="5">
        <v>52910.087966521132</v>
      </c>
      <c r="C3985" s="19">
        <v>-34.284327724622351</v>
      </c>
      <c r="D3985" s="5">
        <v>102076.24568328269</v>
      </c>
      <c r="E3985" s="6">
        <v>92.923976516295809</v>
      </c>
    </row>
    <row r="3986" spans="1:5" x14ac:dyDescent="0.3">
      <c r="A3986" s="4">
        <v>3983</v>
      </c>
      <c r="B3986" s="5">
        <v>58257.251536400967</v>
      </c>
      <c r="C3986" s="19">
        <v>-27.643014843354692</v>
      </c>
      <c r="D3986" s="5">
        <v>112904.43387342671</v>
      </c>
      <c r="E3986" s="6">
        <v>93.803227745614564</v>
      </c>
    </row>
    <row r="3987" spans="1:5" x14ac:dyDescent="0.3">
      <c r="A3987" s="4">
        <v>3984</v>
      </c>
      <c r="B3987" s="5">
        <v>76989.582539785872</v>
      </c>
      <c r="C3987" s="19">
        <v>-4.3769842529073832</v>
      </c>
      <c r="D3987" s="5">
        <v>153186.55496905727</v>
      </c>
      <c r="E3987" s="6">
        <v>98.970496936900673</v>
      </c>
    </row>
    <row r="3988" spans="1:5" x14ac:dyDescent="0.3">
      <c r="A3988" s="4">
        <v>3985</v>
      </c>
      <c r="B3988" s="5">
        <v>83122.70611195339</v>
      </c>
      <c r="C3988" s="19">
        <v>3.2405109012866378</v>
      </c>
      <c r="D3988" s="5">
        <v>172374.05598675454</v>
      </c>
      <c r="E3988" s="6">
        <v>107.37300798965018</v>
      </c>
    </row>
    <row r="3989" spans="1:5" x14ac:dyDescent="0.3">
      <c r="A3989" s="4">
        <v>3986</v>
      </c>
      <c r="B3989" s="5">
        <v>77417.293302217469</v>
      </c>
      <c r="C3989" s="19">
        <v>-3.8457566293511407</v>
      </c>
      <c r="D3989" s="5">
        <v>137746.47990878831</v>
      </c>
      <c r="E3989" s="6">
        <v>77.927274428286992</v>
      </c>
    </row>
    <row r="3990" spans="1:5" x14ac:dyDescent="0.3">
      <c r="A3990" s="4">
        <v>3987</v>
      </c>
      <c r="B3990" s="5">
        <v>44285.320986880273</v>
      </c>
      <c r="C3990" s="19">
        <v>-44.996507236480447</v>
      </c>
      <c r="D3990" s="5">
        <v>87348.692534193164</v>
      </c>
      <c r="E3990" s="6">
        <v>97.240734825136769</v>
      </c>
    </row>
    <row r="3991" spans="1:5" x14ac:dyDescent="0.3">
      <c r="A3991" s="4">
        <v>3988</v>
      </c>
      <c r="B3991" s="5">
        <v>75689.535868035906</v>
      </c>
      <c r="C3991" s="19">
        <v>-5.9916752184085986</v>
      </c>
      <c r="D3991" s="5">
        <v>144444.53253225298</v>
      </c>
      <c r="E3991" s="6">
        <v>90.838179777044559</v>
      </c>
    </row>
    <row r="3992" spans="1:5" x14ac:dyDescent="0.3">
      <c r="A3992" s="4">
        <v>3989</v>
      </c>
      <c r="B3992" s="5">
        <v>95422.002162224861</v>
      </c>
      <c r="C3992" s="19">
        <v>18.516548789730734</v>
      </c>
      <c r="D3992" s="5">
        <v>167992.84741558804</v>
      </c>
      <c r="E3992" s="6">
        <v>76.052528357125709</v>
      </c>
    </row>
    <row r="3993" spans="1:5" x14ac:dyDescent="0.3">
      <c r="A3993" s="4">
        <v>3990</v>
      </c>
      <c r="B3993" s="5">
        <v>47041.856420643962</v>
      </c>
      <c r="C3993" s="19">
        <v>-41.572820258388447</v>
      </c>
      <c r="D3993" s="5">
        <v>90168.736679023365</v>
      </c>
      <c r="E3993" s="6">
        <v>91.677675032088018</v>
      </c>
    </row>
    <row r="3994" spans="1:5" x14ac:dyDescent="0.3">
      <c r="A3994" s="4">
        <v>3991</v>
      </c>
      <c r="B3994" s="5">
        <v>25794.229582805303</v>
      </c>
      <c r="C3994" s="19">
        <v>-67.962912121180935</v>
      </c>
      <c r="D3994" s="5">
        <v>48074.21848100936</v>
      </c>
      <c r="E3994" s="6">
        <v>86.375864906839965</v>
      </c>
    </row>
    <row r="3995" spans="1:5" x14ac:dyDescent="0.3">
      <c r="A3995" s="4">
        <v>3992</v>
      </c>
      <c r="B3995" s="5">
        <v>92944.567554280307</v>
      </c>
      <c r="C3995" s="19">
        <v>15.439512121744492</v>
      </c>
      <c r="D3995" s="5">
        <v>146424.74461927137</v>
      </c>
      <c r="E3995" s="6">
        <v>57.539863245647197</v>
      </c>
    </row>
    <row r="3996" spans="1:5" x14ac:dyDescent="0.3">
      <c r="A3996" s="4">
        <v>3993</v>
      </c>
      <c r="B3996" s="5">
        <v>77325.825325209997</v>
      </c>
      <c r="C3996" s="19">
        <v>-3.9593621785333357</v>
      </c>
      <c r="D3996" s="5">
        <v>142513.30447372681</v>
      </c>
      <c r="E3996" s="6">
        <v>84.302338674507752</v>
      </c>
    </row>
    <row r="3997" spans="1:5" x14ac:dyDescent="0.3">
      <c r="A3997" s="4">
        <v>3994</v>
      </c>
      <c r="B3997" s="5">
        <v>82214.109576039627</v>
      </c>
      <c r="C3997" s="19">
        <v>2.1120109407038257</v>
      </c>
      <c r="D3997" s="5">
        <v>150702.6251414381</v>
      </c>
      <c r="E3997" s="6">
        <v>83.305062742367369</v>
      </c>
    </row>
    <row r="3998" spans="1:5" x14ac:dyDescent="0.3">
      <c r="A3998" s="4">
        <v>3995</v>
      </c>
      <c r="B3998" s="5">
        <v>35699.753693230923</v>
      </c>
      <c r="C3998" s="19">
        <v>-55.659999743328356</v>
      </c>
      <c r="D3998" s="5">
        <v>69025.142239410212</v>
      </c>
      <c r="E3998" s="6">
        <v>93.349071348069728</v>
      </c>
    </row>
    <row r="3999" spans="1:5" x14ac:dyDescent="0.3">
      <c r="A3999" s="4">
        <v>3996</v>
      </c>
      <c r="B3999" s="5">
        <v>33208.739715296069</v>
      </c>
      <c r="C3999" s="19">
        <v>-58.753902333528771</v>
      </c>
      <c r="D3999" s="5">
        <v>67742.887023469943</v>
      </c>
      <c r="E3999" s="6">
        <v>103.99114089917516</v>
      </c>
    </row>
    <row r="4000" spans="1:5" x14ac:dyDescent="0.3">
      <c r="A4000" s="4">
        <v>3997</v>
      </c>
      <c r="B4000" s="5">
        <v>118481.05486400057</v>
      </c>
      <c r="C4000" s="19">
        <v>47.156477555099386</v>
      </c>
      <c r="D4000" s="5">
        <v>257226.61768914995</v>
      </c>
      <c r="E4000" s="6">
        <v>117.1035850283487</v>
      </c>
    </row>
    <row r="4001" spans="1:5" x14ac:dyDescent="0.3">
      <c r="A4001" s="4">
        <v>3998</v>
      </c>
      <c r="B4001" s="5">
        <v>89747.07929009707</v>
      </c>
      <c r="C4001" s="19">
        <v>11.468150535530755</v>
      </c>
      <c r="D4001" s="5">
        <v>145162.15004004759</v>
      </c>
      <c r="E4001" s="6">
        <v>61.745820798053721</v>
      </c>
    </row>
    <row r="4002" spans="1:5" x14ac:dyDescent="0.3">
      <c r="A4002" s="4">
        <v>3999</v>
      </c>
      <c r="B4002" s="5">
        <v>71285.542332234269</v>
      </c>
      <c r="C4002" s="19">
        <v>-11.46154697679137</v>
      </c>
      <c r="D4002" s="5">
        <v>154755.99291319167</v>
      </c>
      <c r="E4002" s="6">
        <v>117.09309889505224</v>
      </c>
    </row>
    <row r="4003" spans="1:5" x14ac:dyDescent="0.3">
      <c r="A4003" s="4">
        <v>4000</v>
      </c>
      <c r="B4003" s="5">
        <v>102815.56986758226</v>
      </c>
      <c r="C4003" s="19">
        <v>27.699547551299968</v>
      </c>
      <c r="D4003" s="5">
        <v>170529.17437489118</v>
      </c>
      <c r="E4003" s="6">
        <v>65.85929017805212</v>
      </c>
    </row>
    <row r="4004" spans="1:5" x14ac:dyDescent="0.3">
      <c r="A4004" s="4">
        <v>4001</v>
      </c>
      <c r="B4004" s="5">
        <v>45748.089964299696</v>
      </c>
      <c r="C4004" s="19">
        <v>-43.179711036944582</v>
      </c>
      <c r="D4004" s="5">
        <v>94694.130516759993</v>
      </c>
      <c r="E4004" s="6">
        <v>106.99034777333038</v>
      </c>
    </row>
    <row r="4005" spans="1:5" x14ac:dyDescent="0.3">
      <c r="A4005" s="4">
        <v>4002</v>
      </c>
      <c r="B4005" s="5">
        <v>74437.290438193377</v>
      </c>
      <c r="C4005" s="19">
        <v>-7.5469958281180638</v>
      </c>
      <c r="D4005" s="5">
        <v>132905.61841888624</v>
      </c>
      <c r="E4005" s="6">
        <v>78.547093313720453</v>
      </c>
    </row>
    <row r="4006" spans="1:5" x14ac:dyDescent="0.3">
      <c r="A4006" s="4">
        <v>4003</v>
      </c>
      <c r="B4006" s="5">
        <v>74981.85143144484</v>
      </c>
      <c r="C4006" s="19">
        <v>-6.8706372518648724</v>
      </c>
      <c r="D4006" s="5">
        <v>137287.10140622623</v>
      </c>
      <c r="E4006" s="6">
        <v>83.093773740364966</v>
      </c>
    </row>
    <row r="4007" spans="1:5" x14ac:dyDescent="0.3">
      <c r="A4007" s="4">
        <v>4004</v>
      </c>
      <c r="B4007" s="5">
        <v>75984.554035160807</v>
      </c>
      <c r="C4007" s="19">
        <v>-5.6252551663699411</v>
      </c>
      <c r="D4007" s="5">
        <v>136998.66731828853</v>
      </c>
      <c r="E4007" s="6">
        <v>80.298047488564947</v>
      </c>
    </row>
    <row r="4008" spans="1:5" x14ac:dyDescent="0.3">
      <c r="A4008" s="4">
        <v>4005</v>
      </c>
      <c r="B4008" s="5">
        <v>85095.418185877686</v>
      </c>
      <c r="C4008" s="19">
        <v>5.6906693706076146</v>
      </c>
      <c r="D4008" s="5">
        <v>153255.54878838599</v>
      </c>
      <c r="E4008" s="6">
        <v>80.098473050127225</v>
      </c>
    </row>
    <row r="4009" spans="1:5" x14ac:dyDescent="0.3">
      <c r="A4009" s="4">
        <v>4006</v>
      </c>
      <c r="B4009" s="5">
        <v>48722.151990505816</v>
      </c>
      <c r="C4009" s="19">
        <v>-39.485850509544335</v>
      </c>
      <c r="D4009" s="5">
        <v>96791.131865869946</v>
      </c>
      <c r="E4009" s="6">
        <v>98.659393954378359</v>
      </c>
    </row>
    <row r="4010" spans="1:5" x14ac:dyDescent="0.3">
      <c r="A4010" s="4">
        <v>4007</v>
      </c>
      <c r="B4010" s="5">
        <v>72932.394019796004</v>
      </c>
      <c r="C4010" s="19">
        <v>-9.4161153786727212</v>
      </c>
      <c r="D4010" s="5">
        <v>122355.64768527813</v>
      </c>
      <c r="E4010" s="6">
        <v>67.765845794212112</v>
      </c>
    </row>
    <row r="4011" spans="1:5" x14ac:dyDescent="0.3">
      <c r="A4011" s="4">
        <v>4008</v>
      </c>
      <c r="B4011" s="5">
        <v>102956.55843643763</v>
      </c>
      <c r="C4011" s="19">
        <v>27.874658932542356</v>
      </c>
      <c r="D4011" s="5">
        <v>201230.90346816651</v>
      </c>
      <c r="E4011" s="6">
        <v>95.452243668770848</v>
      </c>
    </row>
    <row r="4012" spans="1:5" x14ac:dyDescent="0.3">
      <c r="A4012" s="4">
        <v>4009</v>
      </c>
      <c r="B4012" s="5">
        <v>70466.35882924078</v>
      </c>
      <c r="C4012" s="19">
        <v>-12.478993680909097</v>
      </c>
      <c r="D4012" s="5">
        <v>134793.27233899632</v>
      </c>
      <c r="E4012" s="6">
        <v>91.287409451135687</v>
      </c>
    </row>
    <row r="4013" spans="1:5" x14ac:dyDescent="0.3">
      <c r="A4013" s="4">
        <v>4010</v>
      </c>
      <c r="B4013" s="5">
        <v>75194.957657374325</v>
      </c>
      <c r="C4013" s="19">
        <v>-6.6059539099682212</v>
      </c>
      <c r="D4013" s="5">
        <v>123890.81104874062</v>
      </c>
      <c r="E4013" s="6">
        <v>64.759466470143991</v>
      </c>
    </row>
    <row r="4014" spans="1:5" x14ac:dyDescent="0.3">
      <c r="A4014" s="4">
        <v>4011</v>
      </c>
      <c r="B4014" s="5">
        <v>65741.156985494716</v>
      </c>
      <c r="C4014" s="19">
        <v>-18.347814311014798</v>
      </c>
      <c r="D4014" s="5">
        <v>111570.40543175253</v>
      </c>
      <c r="E4014" s="6">
        <v>69.711654841075728</v>
      </c>
    </row>
    <row r="4015" spans="1:5" x14ac:dyDescent="0.3">
      <c r="A4015" s="4">
        <v>4012</v>
      </c>
      <c r="B4015" s="5">
        <v>115188.30921229109</v>
      </c>
      <c r="C4015" s="19">
        <v>43.066803875652226</v>
      </c>
      <c r="D4015" s="5">
        <v>194464.95840079602</v>
      </c>
      <c r="E4015" s="6">
        <v>68.823520139008849</v>
      </c>
    </row>
    <row r="4016" spans="1:5" x14ac:dyDescent="0.3">
      <c r="A4016" s="4">
        <v>4013</v>
      </c>
      <c r="B4016" s="5">
        <v>30494.061846684002</v>
      </c>
      <c r="C4016" s="19">
        <v>-62.125601153228558</v>
      </c>
      <c r="D4016" s="5">
        <v>66527.433217412661</v>
      </c>
      <c r="E4016" s="6">
        <v>118.16520721934265</v>
      </c>
    </row>
    <row r="4017" spans="1:5" x14ac:dyDescent="0.3">
      <c r="A4017" s="4">
        <v>4014</v>
      </c>
      <c r="B4017" s="5">
        <v>29972.7431106605</v>
      </c>
      <c r="C4017" s="19">
        <v>-62.773092256044571</v>
      </c>
      <c r="D4017" s="5">
        <v>63639.807625171852</v>
      </c>
      <c r="E4017" s="6">
        <v>112.32560326631192</v>
      </c>
    </row>
    <row r="4018" spans="1:5" x14ac:dyDescent="0.3">
      <c r="A4018" s="4">
        <v>4015</v>
      </c>
      <c r="B4018" s="5">
        <v>35153.940529130188</v>
      </c>
      <c r="C4018" s="19">
        <v>-56.337913547560291</v>
      </c>
      <c r="D4018" s="5">
        <v>72755.548584635922</v>
      </c>
      <c r="E4018" s="6">
        <v>106.96271168902756</v>
      </c>
    </row>
    <row r="4019" spans="1:5" x14ac:dyDescent="0.3">
      <c r="A4019" s="4">
        <v>4016</v>
      </c>
      <c r="B4019" s="5">
        <v>114521.67083516682</v>
      </c>
      <c r="C4019" s="19">
        <v>42.238822089929094</v>
      </c>
      <c r="D4019" s="5">
        <v>198219.06269924718</v>
      </c>
      <c r="E4019" s="6">
        <v>73.084326532877412</v>
      </c>
    </row>
    <row r="4020" spans="1:5" x14ac:dyDescent="0.3">
      <c r="A4020" s="4">
        <v>4017</v>
      </c>
      <c r="B4020" s="5">
        <v>85914.425325836026</v>
      </c>
      <c r="C4020" s="19">
        <v>6.7078970273590501</v>
      </c>
      <c r="D4020" s="5">
        <v>168945.55671900645</v>
      </c>
      <c r="E4020" s="6">
        <v>96.643993227295027</v>
      </c>
    </row>
    <row r="4021" spans="1:5" x14ac:dyDescent="0.3">
      <c r="A4021" s="4">
        <v>4018</v>
      </c>
      <c r="B4021" s="5">
        <v>91189.72671249116</v>
      </c>
      <c r="C4021" s="19">
        <v>13.259955252978131</v>
      </c>
      <c r="D4021" s="5">
        <v>176301.68608423171</v>
      </c>
      <c r="E4021" s="6">
        <v>93.335030644501245</v>
      </c>
    </row>
    <row r="4022" spans="1:5" x14ac:dyDescent="0.3">
      <c r="A4022" s="4">
        <v>4019</v>
      </c>
      <c r="B4022" s="5">
        <v>113445.25683195116</v>
      </c>
      <c r="C4022" s="19">
        <v>40.901888575233251</v>
      </c>
      <c r="D4022" s="5">
        <v>187183.86619139768</v>
      </c>
      <c r="E4022" s="6">
        <v>64.999288131258822</v>
      </c>
    </row>
    <row r="4023" spans="1:5" x14ac:dyDescent="0.3">
      <c r="A4023" s="4">
        <v>4020</v>
      </c>
      <c r="B4023" s="5">
        <v>53069.673372502191</v>
      </c>
      <c r="C4023" s="19">
        <v>-34.086118599624861</v>
      </c>
      <c r="D4023" s="5">
        <v>115645.80752122124</v>
      </c>
      <c r="E4023" s="6">
        <v>117.91316993698059</v>
      </c>
    </row>
    <row r="4024" spans="1:5" x14ac:dyDescent="0.3">
      <c r="A4024" s="4">
        <v>4021</v>
      </c>
      <c r="B4024" s="5">
        <v>49888.774885447368</v>
      </c>
      <c r="C4024" s="19">
        <v>-38.036875261545475</v>
      </c>
      <c r="D4024" s="5">
        <v>92903.585060354904</v>
      </c>
      <c r="E4024" s="6">
        <v>86.221420096357221</v>
      </c>
    </row>
    <row r="4025" spans="1:5" x14ac:dyDescent="0.3">
      <c r="A4025" s="4">
        <v>4022</v>
      </c>
      <c r="B4025" s="5">
        <v>45750.486523335756</v>
      </c>
      <c r="C4025" s="19">
        <v>-43.176734449789741</v>
      </c>
      <c r="D4025" s="5">
        <v>86886.982382886737</v>
      </c>
      <c r="E4025" s="6">
        <v>89.914881754467601</v>
      </c>
    </row>
    <row r="4026" spans="1:5" x14ac:dyDescent="0.3">
      <c r="A4026" s="4">
        <v>4023</v>
      </c>
      <c r="B4026" s="5">
        <v>39349.311151019581</v>
      </c>
      <c r="C4026" s="19">
        <v>-51.127156743748493</v>
      </c>
      <c r="D4026" s="5">
        <v>74827.761254209341</v>
      </c>
      <c r="E4026" s="6">
        <v>90.162823859930469</v>
      </c>
    </row>
    <row r="4027" spans="1:5" x14ac:dyDescent="0.3">
      <c r="A4027" s="4">
        <v>4024</v>
      </c>
      <c r="B4027" s="5">
        <v>57911.946825384752</v>
      </c>
      <c r="C4027" s="19">
        <v>-28.071892059333692</v>
      </c>
      <c r="D4027" s="5">
        <v>109309.38707252135</v>
      </c>
      <c r="E4027" s="6">
        <v>88.75101436687909</v>
      </c>
    </row>
    <row r="4028" spans="1:5" x14ac:dyDescent="0.3">
      <c r="A4028" s="4">
        <v>4025</v>
      </c>
      <c r="B4028" s="5">
        <v>37869.501699734166</v>
      </c>
      <c r="C4028" s="19">
        <v>-52.96511764436562</v>
      </c>
      <c r="D4028" s="5">
        <v>70260.682085306878</v>
      </c>
      <c r="E4028" s="6">
        <v>85.533685239381143</v>
      </c>
    </row>
    <row r="4029" spans="1:5" x14ac:dyDescent="0.3">
      <c r="A4029" s="4">
        <v>4026</v>
      </c>
      <c r="B4029" s="5">
        <v>51766.546398625709</v>
      </c>
      <c r="C4029" s="19">
        <v>-35.704635378554762</v>
      </c>
      <c r="D4029" s="5">
        <v>102920.7686114918</v>
      </c>
      <c r="E4029" s="6">
        <v>98.817143061767268</v>
      </c>
    </row>
    <row r="4030" spans="1:5" x14ac:dyDescent="0.3">
      <c r="A4030" s="4">
        <v>4027</v>
      </c>
      <c r="B4030" s="5">
        <v>80072.326663495784</v>
      </c>
      <c r="C4030" s="19">
        <v>-0.54813780172113213</v>
      </c>
      <c r="D4030" s="5">
        <v>124469.20513901982</v>
      </c>
      <c r="E4030" s="6">
        <v>55.445970318936858</v>
      </c>
    </row>
    <row r="4031" spans="1:5" x14ac:dyDescent="0.3">
      <c r="A4031" s="4">
        <v>4028</v>
      </c>
      <c r="B4031" s="5">
        <v>33598.173479933233</v>
      </c>
      <c r="C4031" s="19">
        <v>-58.270215712821283</v>
      </c>
      <c r="D4031" s="5">
        <v>65173.711818660588</v>
      </c>
      <c r="E4031" s="6">
        <v>93.979925300362197</v>
      </c>
    </row>
    <row r="4032" spans="1:5" x14ac:dyDescent="0.3">
      <c r="A4032" s="4">
        <v>4029</v>
      </c>
      <c r="B4032" s="5">
        <v>65929.886031006768</v>
      </c>
      <c r="C4032" s="19">
        <v>-18.113408045964501</v>
      </c>
      <c r="D4032" s="5">
        <v>137278.64724220516</v>
      </c>
      <c r="E4032" s="6">
        <v>108.21914841115171</v>
      </c>
    </row>
    <row r="4033" spans="1:5" x14ac:dyDescent="0.3">
      <c r="A4033" s="4">
        <v>4030</v>
      </c>
      <c r="B4033" s="5">
        <v>57618.331023599014</v>
      </c>
      <c r="C4033" s="19">
        <v>-28.436570338024758</v>
      </c>
      <c r="D4033" s="5">
        <v>105109.38125091855</v>
      </c>
      <c r="E4033" s="6">
        <v>82.423508948685793</v>
      </c>
    </row>
    <row r="4034" spans="1:5" x14ac:dyDescent="0.3">
      <c r="A4034" s="4">
        <v>4031</v>
      </c>
      <c r="B4034" s="5">
        <v>50185.327591349691</v>
      </c>
      <c r="C4034" s="19">
        <v>-37.668549273393943</v>
      </c>
      <c r="D4034" s="5">
        <v>98126.505240457423</v>
      </c>
      <c r="E4034" s="6">
        <v>95.528274796738046</v>
      </c>
    </row>
    <row r="4035" spans="1:5" x14ac:dyDescent="0.3">
      <c r="A4035" s="4">
        <v>4032</v>
      </c>
      <c r="B4035" s="5">
        <v>67843.031049592362</v>
      </c>
      <c r="C4035" s="19">
        <v>-15.737233371369483</v>
      </c>
      <c r="D4035" s="5">
        <v>145941.97775082506</v>
      </c>
      <c r="E4035" s="6">
        <v>115.11712477018222</v>
      </c>
    </row>
    <row r="4036" spans="1:5" x14ac:dyDescent="0.3">
      <c r="A4036" s="4">
        <v>4033</v>
      </c>
      <c r="B4036" s="5">
        <v>43680.526707117184</v>
      </c>
      <c r="C4036" s="19">
        <v>-45.747677083487368</v>
      </c>
      <c r="D4036" s="5">
        <v>86525.801934190851</v>
      </c>
      <c r="E4036" s="6">
        <v>98.087817288367489</v>
      </c>
    </row>
    <row r="4037" spans="1:5" x14ac:dyDescent="0.3">
      <c r="A4037" s="4">
        <v>4034</v>
      </c>
      <c r="B4037" s="5">
        <v>71430.415917992897</v>
      </c>
      <c r="C4037" s="19">
        <v>-11.281610305941438</v>
      </c>
      <c r="D4037" s="5">
        <v>135392.04060646085</v>
      </c>
      <c r="E4037" s="6">
        <v>89.543962283378505</v>
      </c>
    </row>
    <row r="4038" spans="1:5" x14ac:dyDescent="0.3">
      <c r="A4038" s="4">
        <v>4035</v>
      </c>
      <c r="B4038" s="5">
        <v>63839.535277536532</v>
      </c>
      <c r="C4038" s="19">
        <v>-20.709676741313466</v>
      </c>
      <c r="D4038" s="5">
        <v>121991.08475891361</v>
      </c>
      <c r="E4038" s="6">
        <v>91.090182954134207</v>
      </c>
    </row>
    <row r="4039" spans="1:5" x14ac:dyDescent="0.3">
      <c r="A4039" s="4">
        <v>4036</v>
      </c>
      <c r="B4039" s="5">
        <v>79567.628428776166</v>
      </c>
      <c r="C4039" s="19">
        <v>-1.1749858200382091</v>
      </c>
      <c r="D4039" s="5">
        <v>136404.05113315725</v>
      </c>
      <c r="E4039" s="6">
        <v>71.431590744541793</v>
      </c>
    </row>
    <row r="4040" spans="1:5" x14ac:dyDescent="0.3">
      <c r="A4040" s="4">
        <v>4037</v>
      </c>
      <c r="B4040" s="5">
        <v>34797.666983535724</v>
      </c>
      <c r="C4040" s="19">
        <v>-56.780414334508279</v>
      </c>
      <c r="D4040" s="5">
        <v>67062.279175415504</v>
      </c>
      <c r="E4040" s="6">
        <v>92.720618905702963</v>
      </c>
    </row>
    <row r="4041" spans="1:5" x14ac:dyDescent="0.3">
      <c r="A4041" s="4">
        <v>4038</v>
      </c>
      <c r="B4041" s="5">
        <v>65714.021006525756</v>
      </c>
      <c r="C4041" s="19">
        <v>-18.381517885688954</v>
      </c>
      <c r="D4041" s="5">
        <v>119297.12615974393</v>
      </c>
      <c r="E4041" s="6">
        <v>81.539836297488293</v>
      </c>
    </row>
    <row r="4042" spans="1:5" x14ac:dyDescent="0.3">
      <c r="A4042" s="4">
        <v>4039</v>
      </c>
      <c r="B4042" s="5">
        <v>61049.768007527491</v>
      </c>
      <c r="C4042" s="19">
        <v>-24.174638503548525</v>
      </c>
      <c r="D4042" s="5">
        <v>104665.99682794949</v>
      </c>
      <c r="E4042" s="6">
        <v>71.443725740356754</v>
      </c>
    </row>
    <row r="4043" spans="1:5" x14ac:dyDescent="0.3">
      <c r="A4043" s="4">
        <v>4040</v>
      </c>
      <c r="B4043" s="5">
        <v>129669.53729404669</v>
      </c>
      <c r="C4043" s="19">
        <v>61.052856731353387</v>
      </c>
      <c r="D4043" s="5">
        <v>212925.47218938766</v>
      </c>
      <c r="E4043" s="6">
        <v>64.206240442228648</v>
      </c>
    </row>
    <row r="4044" spans="1:5" x14ac:dyDescent="0.3">
      <c r="A4044" s="4">
        <v>4041</v>
      </c>
      <c r="B4044" s="5">
        <v>143782.33131982776</v>
      </c>
      <c r="C4044" s="19">
        <v>78.58130513754331</v>
      </c>
      <c r="D4044" s="5">
        <v>263931.27485077409</v>
      </c>
      <c r="E4044" s="6">
        <v>83.563079293580529</v>
      </c>
    </row>
    <row r="4045" spans="1:5" x14ac:dyDescent="0.3">
      <c r="A4045" s="4">
        <v>4042</v>
      </c>
      <c r="B4045" s="5">
        <v>35160.435287120985</v>
      </c>
      <c r="C4045" s="19">
        <v>-56.32984689327877</v>
      </c>
      <c r="D4045" s="5">
        <v>82082.947302166183</v>
      </c>
      <c r="E4045" s="6">
        <v>133.4525913341937</v>
      </c>
    </row>
    <row r="4046" spans="1:5" x14ac:dyDescent="0.3">
      <c r="A4046" s="4">
        <v>4043</v>
      </c>
      <c r="B4046" s="5">
        <v>157886.70596428198</v>
      </c>
      <c r="C4046" s="19">
        <v>96.099296458415466</v>
      </c>
      <c r="D4046" s="5">
        <v>280687.92679853144</v>
      </c>
      <c r="E4046" s="6">
        <v>77.778062493767038</v>
      </c>
    </row>
    <row r="4047" spans="1:5" x14ac:dyDescent="0.3">
      <c r="A4047" s="4">
        <v>4044</v>
      </c>
      <c r="B4047" s="5">
        <v>57314.843534353065</v>
      </c>
      <c r="C4047" s="19">
        <v>-28.813509503115231</v>
      </c>
      <c r="D4047" s="5">
        <v>97768.521232016312</v>
      </c>
      <c r="E4047" s="6">
        <v>70.581502457415482</v>
      </c>
    </row>
    <row r="4048" spans="1:5" x14ac:dyDescent="0.3">
      <c r="A4048" s="4">
        <v>4045</v>
      </c>
      <c r="B4048" s="5">
        <v>126842.87491997828</v>
      </c>
      <c r="C4048" s="19">
        <v>57.542070313365237</v>
      </c>
      <c r="D4048" s="5">
        <v>195184.69406161155</v>
      </c>
      <c r="E4048" s="6">
        <v>53.879115547284997</v>
      </c>
    </row>
    <row r="4049" spans="1:5" x14ac:dyDescent="0.3">
      <c r="A4049" s="4">
        <v>4046</v>
      </c>
      <c r="B4049" s="5">
        <v>65197.065104175155</v>
      </c>
      <c r="C4049" s="19">
        <v>-19.023590238341058</v>
      </c>
      <c r="D4049" s="5">
        <v>105631.44174282002</v>
      </c>
      <c r="E4049" s="6">
        <v>62.018706783866392</v>
      </c>
    </row>
    <row r="4050" spans="1:5" x14ac:dyDescent="0.3">
      <c r="A4050" s="4">
        <v>4047</v>
      </c>
      <c r="B4050" s="5">
        <v>125283.80248741507</v>
      </c>
      <c r="C4050" s="19">
        <v>55.605662778062545</v>
      </c>
      <c r="D4050" s="5">
        <v>231597.97593264389</v>
      </c>
      <c r="E4050" s="6">
        <v>84.858673934252778</v>
      </c>
    </row>
    <row r="4051" spans="1:5" x14ac:dyDescent="0.3">
      <c r="A4051" s="4">
        <v>4048</v>
      </c>
      <c r="B4051" s="5">
        <v>145688.22155389984</v>
      </c>
      <c r="C4051" s="19">
        <v>80.948469185623779</v>
      </c>
      <c r="D4051" s="5">
        <v>190705.60879218893</v>
      </c>
      <c r="E4051" s="6">
        <v>30.899812461252491</v>
      </c>
    </row>
    <row r="4052" spans="1:5" x14ac:dyDescent="0.3">
      <c r="A4052" s="4">
        <v>4049</v>
      </c>
      <c r="B4052" s="5">
        <v>59957.077459318032</v>
      </c>
      <c r="C4052" s="19">
        <v>-25.531787900275503</v>
      </c>
      <c r="D4052" s="5">
        <v>90878.496087492778</v>
      </c>
      <c r="E4052" s="6">
        <v>51.572591491230526</v>
      </c>
    </row>
    <row r="4053" spans="1:5" x14ac:dyDescent="0.3">
      <c r="A4053" s="4">
        <v>4050</v>
      </c>
      <c r="B4053" s="5">
        <v>61442.660698216394</v>
      </c>
      <c r="C4053" s="19">
        <v>-23.686655808886588</v>
      </c>
      <c r="D4053" s="5">
        <v>114861.5173285099</v>
      </c>
      <c r="E4053" s="6">
        <v>86.940988595313542</v>
      </c>
    </row>
    <row r="4054" spans="1:5" x14ac:dyDescent="0.3">
      <c r="A4054" s="4">
        <v>4051</v>
      </c>
      <c r="B4054" s="5">
        <v>64158.568158589827</v>
      </c>
      <c r="C4054" s="19">
        <v>-20.313429805008354</v>
      </c>
      <c r="D4054" s="5">
        <v>130534.77520230603</v>
      </c>
      <c r="E4054" s="6">
        <v>103.45649684644572</v>
      </c>
    </row>
    <row r="4055" spans="1:5" x14ac:dyDescent="0.3">
      <c r="A4055" s="4">
        <v>4052</v>
      </c>
      <c r="B4055" s="5">
        <v>62368.816918793098</v>
      </c>
      <c r="C4055" s="19">
        <v>-22.53634627423353</v>
      </c>
      <c r="D4055" s="5">
        <v>107469.13297727633</v>
      </c>
      <c r="E4055" s="6">
        <v>72.312284065297888</v>
      </c>
    </row>
    <row r="4056" spans="1:5" x14ac:dyDescent="0.3">
      <c r="A4056" s="4">
        <v>4053</v>
      </c>
      <c r="B4056" s="5">
        <v>43782.288342845772</v>
      </c>
      <c r="C4056" s="19">
        <v>-45.62128654888879</v>
      </c>
      <c r="D4056" s="5">
        <v>94246.807474962916</v>
      </c>
      <c r="E4056" s="6">
        <v>115.26240642550442</v>
      </c>
    </row>
    <row r="4057" spans="1:5" x14ac:dyDescent="0.3">
      <c r="A4057" s="4">
        <v>4054</v>
      </c>
      <c r="B4057" s="5">
        <v>65782.994522082561</v>
      </c>
      <c r="C4057" s="19">
        <v>-18.295851028607185</v>
      </c>
      <c r="D4057" s="5">
        <v>133018.17844834938</v>
      </c>
      <c r="E4057" s="6">
        <v>102.20754530062747</v>
      </c>
    </row>
    <row r="4058" spans="1:5" x14ac:dyDescent="0.3">
      <c r="A4058" s="4">
        <v>4055</v>
      </c>
      <c r="B4058" s="5">
        <v>52176.943332729214</v>
      </c>
      <c r="C4058" s="19">
        <v>-35.194911969260282</v>
      </c>
      <c r="D4058" s="5">
        <v>89775.771238743866</v>
      </c>
      <c r="E4058" s="6">
        <v>72.060234855555265</v>
      </c>
    </row>
    <row r="4059" spans="1:5" x14ac:dyDescent="0.3">
      <c r="A4059" s="4">
        <v>4056</v>
      </c>
      <c r="B4059" s="5">
        <v>92982.770100469483</v>
      </c>
      <c r="C4059" s="19">
        <v>15.486960653809708</v>
      </c>
      <c r="D4059" s="5">
        <v>163701.22589248762</v>
      </c>
      <c r="E4059" s="6">
        <v>76.0554409334177</v>
      </c>
    </row>
    <row r="4060" spans="1:5" x14ac:dyDescent="0.3">
      <c r="A4060" s="4">
        <v>4057</v>
      </c>
      <c r="B4060" s="5">
        <v>59817.225487225885</v>
      </c>
      <c r="C4060" s="19">
        <v>-25.705487599487647</v>
      </c>
      <c r="D4060" s="5">
        <v>97600.141431164069</v>
      </c>
      <c r="E4060" s="6">
        <v>63.163939210130728</v>
      </c>
    </row>
    <row r="4061" spans="1:5" x14ac:dyDescent="0.3">
      <c r="A4061" s="4">
        <v>4058</v>
      </c>
      <c r="B4061" s="5">
        <v>90402.426301427084</v>
      </c>
      <c r="C4061" s="19">
        <v>12.282108158327787</v>
      </c>
      <c r="D4061" s="5">
        <v>168972.05741205887</v>
      </c>
      <c r="E4061" s="6">
        <v>86.910976093339102</v>
      </c>
    </row>
    <row r="4062" spans="1:5" x14ac:dyDescent="0.3">
      <c r="A4062" s="4">
        <v>4059</v>
      </c>
      <c r="B4062" s="5">
        <v>40741.612436419164</v>
      </c>
      <c r="C4062" s="19">
        <v>-49.397883206388279</v>
      </c>
      <c r="D4062" s="5">
        <v>69351.530375864168</v>
      </c>
      <c r="E4062" s="6">
        <v>70.222841533562956</v>
      </c>
    </row>
    <row r="4063" spans="1:5" x14ac:dyDescent="0.3">
      <c r="A4063" s="4">
        <v>4060</v>
      </c>
      <c r="B4063" s="5">
        <v>126698.16712038517</v>
      </c>
      <c r="C4063" s="19">
        <v>57.362339553141041</v>
      </c>
      <c r="D4063" s="5">
        <v>207607.07634949716</v>
      </c>
      <c r="E4063" s="6">
        <v>63.859573558182994</v>
      </c>
    </row>
    <row r="4064" spans="1:5" x14ac:dyDescent="0.3">
      <c r="A4064" s="4">
        <v>4061</v>
      </c>
      <c r="B4064" s="5">
        <v>73192.391961696499</v>
      </c>
      <c r="C4064" s="19">
        <v>-9.0931913352839295</v>
      </c>
      <c r="D4064" s="5">
        <v>123746.2449586825</v>
      </c>
      <c r="E4064" s="6">
        <v>69.069819474464168</v>
      </c>
    </row>
    <row r="4065" spans="1:5" x14ac:dyDescent="0.3">
      <c r="A4065" s="4">
        <v>4062</v>
      </c>
      <c r="B4065" s="5">
        <v>115604.91865664115</v>
      </c>
      <c r="C4065" s="19">
        <v>43.584243380365564</v>
      </c>
      <c r="D4065" s="5">
        <v>219064.67984615592</v>
      </c>
      <c r="E4065" s="6">
        <v>89.494255427661528</v>
      </c>
    </row>
    <row r="4066" spans="1:5" x14ac:dyDescent="0.3">
      <c r="A4066" s="4">
        <v>4063</v>
      </c>
      <c r="B4066" s="5">
        <v>80936.437931077322</v>
      </c>
      <c r="C4066" s="19">
        <v>0.52511032641996402</v>
      </c>
      <c r="D4066" s="5">
        <v>135272.5009230836</v>
      </c>
      <c r="E4066" s="6">
        <v>67.134240622594476</v>
      </c>
    </row>
    <row r="4067" spans="1:5" x14ac:dyDescent="0.3">
      <c r="A4067" s="4">
        <v>4064</v>
      </c>
      <c r="B4067" s="5">
        <v>46524.928983378122</v>
      </c>
      <c r="C4067" s="19">
        <v>-42.214857256682755</v>
      </c>
      <c r="D4067" s="5">
        <v>91561.688249935891</v>
      </c>
      <c r="E4067" s="6">
        <v>96.801349836875559</v>
      </c>
    </row>
    <row r="4068" spans="1:5" x14ac:dyDescent="0.3">
      <c r="A4068" s="4">
        <v>4065</v>
      </c>
      <c r="B4068" s="5">
        <v>101019.98251761096</v>
      </c>
      <c r="C4068" s="19">
        <v>25.469382485099523</v>
      </c>
      <c r="D4068" s="5">
        <v>193910.4219265854</v>
      </c>
      <c r="E4068" s="6">
        <v>91.952539580751477</v>
      </c>
    </row>
    <row r="4069" spans="1:5" x14ac:dyDescent="0.3">
      <c r="A4069" s="4">
        <v>4066</v>
      </c>
      <c r="B4069" s="5">
        <v>15877.692667323256</v>
      </c>
      <c r="C4069" s="19">
        <v>-80.279502682452502</v>
      </c>
      <c r="D4069" s="5">
        <v>34936.178987914085</v>
      </c>
      <c r="E4069" s="6">
        <v>120.03309750297497</v>
      </c>
    </row>
    <row r="4070" spans="1:5" x14ac:dyDescent="0.3">
      <c r="A4070" s="4">
        <v>4067</v>
      </c>
      <c r="B4070" s="5">
        <v>35806.773117138437</v>
      </c>
      <c r="C4070" s="19">
        <v>-55.527078902352699</v>
      </c>
      <c r="D4070" s="5">
        <v>69066.375288170937</v>
      </c>
      <c r="E4070" s="6">
        <v>92.886343212852182</v>
      </c>
    </row>
    <row r="4071" spans="1:5" x14ac:dyDescent="0.3">
      <c r="A4071" s="4">
        <v>4068</v>
      </c>
      <c r="B4071" s="5">
        <v>45977.081179469664</v>
      </c>
      <c r="C4071" s="19">
        <v>-42.895298135201301</v>
      </c>
      <c r="D4071" s="5">
        <v>83688.426922290353</v>
      </c>
      <c r="E4071" s="6">
        <v>82.022052673626646</v>
      </c>
    </row>
    <row r="4072" spans="1:5" x14ac:dyDescent="0.3">
      <c r="A4072" s="4">
        <v>4069</v>
      </c>
      <c r="B4072" s="5">
        <v>113063.90493146752</v>
      </c>
      <c r="C4072" s="19">
        <v>40.428239834947036</v>
      </c>
      <c r="D4072" s="5">
        <v>217208.94887455122</v>
      </c>
      <c r="E4072" s="6">
        <v>92.111663758836301</v>
      </c>
    </row>
    <row r="4073" spans="1:5" x14ac:dyDescent="0.3">
      <c r="A4073" s="4">
        <v>4070</v>
      </c>
      <c r="B4073" s="5">
        <v>84978.502595478407</v>
      </c>
      <c r="C4073" s="19">
        <v>5.5454572396540076</v>
      </c>
      <c r="D4073" s="5">
        <v>145534.09290872078</v>
      </c>
      <c r="E4073" s="6">
        <v>71.259893342089143</v>
      </c>
    </row>
    <row r="4074" spans="1:5" x14ac:dyDescent="0.3">
      <c r="A4074" s="4">
        <v>4071</v>
      </c>
      <c r="B4074" s="5">
        <v>89489.379928559938</v>
      </c>
      <c r="C4074" s="19">
        <v>11.148081387298308</v>
      </c>
      <c r="D4074" s="5">
        <v>164327.00450744107</v>
      </c>
      <c r="E4074" s="6">
        <v>83.627380856392776</v>
      </c>
    </row>
    <row r="4075" spans="1:5" x14ac:dyDescent="0.3">
      <c r="A4075" s="4">
        <v>4072</v>
      </c>
      <c r="B4075" s="5">
        <v>61902.921749864996</v>
      </c>
      <c r="C4075" s="19">
        <v>-23.114999899896251</v>
      </c>
      <c r="D4075" s="5">
        <v>120974.8325585679</v>
      </c>
      <c r="E4075" s="6">
        <v>95.426692535448439</v>
      </c>
    </row>
    <row r="4076" spans="1:5" x14ac:dyDescent="0.3">
      <c r="A4076" s="4">
        <v>4073</v>
      </c>
      <c r="B4076" s="5">
        <v>83190.851272404179</v>
      </c>
      <c r="C4076" s="19">
        <v>3.3251489203005296</v>
      </c>
      <c r="D4076" s="5">
        <v>144507.12815347011</v>
      </c>
      <c r="E4076" s="6">
        <v>73.705552886204913</v>
      </c>
    </row>
    <row r="4077" spans="1:5" x14ac:dyDescent="0.3">
      <c r="A4077" s="4">
        <v>4074</v>
      </c>
      <c r="B4077" s="5">
        <v>71057.176693335728</v>
      </c>
      <c r="C4077" s="19">
        <v>-11.745182896926478</v>
      </c>
      <c r="D4077" s="5">
        <v>135360.22966396986</v>
      </c>
      <c r="E4077" s="6">
        <v>90.494804273112862</v>
      </c>
    </row>
    <row r="4078" spans="1:5" x14ac:dyDescent="0.3">
      <c r="A4078" s="4">
        <v>4075</v>
      </c>
      <c r="B4078" s="5">
        <v>84865.816625056337</v>
      </c>
      <c r="C4078" s="19">
        <v>5.4054984040728744</v>
      </c>
      <c r="D4078" s="5">
        <v>119945.10980840013</v>
      </c>
      <c r="E4078" s="6">
        <v>41.335009286868456</v>
      </c>
    </row>
    <row r="4079" spans="1:5" x14ac:dyDescent="0.3">
      <c r="A4079" s="4">
        <v>4076</v>
      </c>
      <c r="B4079" s="5">
        <v>53387.742273165095</v>
      </c>
      <c r="C4079" s="19">
        <v>-33.691068951433408</v>
      </c>
      <c r="D4079" s="5">
        <v>98099.706900250982</v>
      </c>
      <c r="E4079" s="6">
        <v>83.749495152485565</v>
      </c>
    </row>
    <row r="4080" spans="1:5" x14ac:dyDescent="0.3">
      <c r="A4080" s="4">
        <v>4077</v>
      </c>
      <c r="B4080" s="5">
        <v>70543.181728521275</v>
      </c>
      <c r="C4080" s="19">
        <v>-12.383577690000978</v>
      </c>
      <c r="D4080" s="5">
        <v>135882.64376270515</v>
      </c>
      <c r="E4080" s="6">
        <v>92.623355557786695</v>
      </c>
    </row>
    <row r="4081" spans="1:5" x14ac:dyDescent="0.3">
      <c r="A4081" s="4">
        <v>4078</v>
      </c>
      <c r="B4081" s="5">
        <v>61513.537667264201</v>
      </c>
      <c r="C4081" s="19">
        <v>-23.598624814253483</v>
      </c>
      <c r="D4081" s="5">
        <v>119228.80805130095</v>
      </c>
      <c r="E4081" s="6">
        <v>93.825314837568214</v>
      </c>
    </row>
    <row r="4082" spans="1:5" x14ac:dyDescent="0.3">
      <c r="A4082" s="4">
        <v>4079</v>
      </c>
      <c r="B4082" s="5">
        <v>107311.66121011252</v>
      </c>
      <c r="C4082" s="19">
        <v>33.283807123365619</v>
      </c>
      <c r="D4082" s="5">
        <v>219029.73800163157</v>
      </c>
      <c r="E4082" s="6">
        <v>104.10618522881583</v>
      </c>
    </row>
    <row r="4083" spans="1:5" x14ac:dyDescent="0.3">
      <c r="A4083" s="4">
        <v>4080</v>
      </c>
      <c r="B4083" s="5">
        <v>65309.50922806868</v>
      </c>
      <c r="C4083" s="19">
        <v>-18.883931782287188</v>
      </c>
      <c r="D4083" s="5">
        <v>130612.48474199386</v>
      </c>
      <c r="E4083" s="6">
        <v>99.989995769037733</v>
      </c>
    </row>
    <row r="4084" spans="1:5" x14ac:dyDescent="0.3">
      <c r="A4084" s="4">
        <v>4081</v>
      </c>
      <c r="B4084" s="5">
        <v>67401.09804186676</v>
      </c>
      <c r="C4084" s="19">
        <v>-16.286125384585258</v>
      </c>
      <c r="D4084" s="5">
        <v>119864.79325477954</v>
      </c>
      <c r="E4084" s="6">
        <v>77.838042312492462</v>
      </c>
    </row>
    <row r="4085" spans="1:5" x14ac:dyDescent="0.3">
      <c r="A4085" s="4">
        <v>4082</v>
      </c>
      <c r="B4085" s="5">
        <v>60215.162408510892</v>
      </c>
      <c r="C4085" s="19">
        <v>-25.21123984238724</v>
      </c>
      <c r="D4085" s="5">
        <v>91382.027023723</v>
      </c>
      <c r="E4085" s="6">
        <v>51.759163919164223</v>
      </c>
    </row>
    <row r="4086" spans="1:5" x14ac:dyDescent="0.3">
      <c r="A4086" s="4">
        <v>4083</v>
      </c>
      <c r="B4086" s="5">
        <v>53445.584839119387</v>
      </c>
      <c r="C4086" s="19">
        <v>-33.619227016295739</v>
      </c>
      <c r="D4086" s="5">
        <v>110505.63464596079</v>
      </c>
      <c r="E4086" s="6">
        <v>106.76288785800023</v>
      </c>
    </row>
    <row r="4087" spans="1:5" x14ac:dyDescent="0.3">
      <c r="A4087" s="4">
        <v>4084</v>
      </c>
      <c r="B4087" s="5">
        <v>76860.584695099242</v>
      </c>
      <c r="C4087" s="19">
        <v>-4.5372028503706989</v>
      </c>
      <c r="D4087" s="5">
        <v>154325.15049557691</v>
      </c>
      <c r="E4087" s="6">
        <v>100.78581383133421</v>
      </c>
    </row>
    <row r="4088" spans="1:5" x14ac:dyDescent="0.3">
      <c r="A4088" s="4">
        <v>4085</v>
      </c>
      <c r="B4088" s="5">
        <v>37183.576729424618</v>
      </c>
      <c r="C4088" s="19">
        <v>-53.817053868377997</v>
      </c>
      <c r="D4088" s="5">
        <v>73340.904459474448</v>
      </c>
      <c r="E4088" s="6">
        <v>97.240047651030082</v>
      </c>
    </row>
    <row r="4089" spans="1:5" x14ac:dyDescent="0.3">
      <c r="A4089" s="4">
        <v>4086</v>
      </c>
      <c r="B4089" s="5">
        <v>27938.127822908747</v>
      </c>
      <c r="C4089" s="19">
        <v>-65.30013608823343</v>
      </c>
      <c r="D4089" s="5">
        <v>58802.709145884139</v>
      </c>
      <c r="E4089" s="6">
        <v>110.47476594930245</v>
      </c>
    </row>
    <row r="4090" spans="1:5" x14ac:dyDescent="0.3">
      <c r="A4090" s="4">
        <v>4087</v>
      </c>
      <c r="B4090" s="5">
        <v>33736.636389444291</v>
      </c>
      <c r="C4090" s="19">
        <v>-58.09824126459354</v>
      </c>
      <c r="D4090" s="5">
        <v>75762.20705017999</v>
      </c>
      <c r="E4090" s="6">
        <v>124.56953377214836</v>
      </c>
    </row>
    <row r="4091" spans="1:5" x14ac:dyDescent="0.3">
      <c r="A4091" s="4">
        <v>4088</v>
      </c>
      <c r="B4091" s="5">
        <v>41025.085513609607</v>
      </c>
      <c r="C4091" s="19">
        <v>-49.045802449098161</v>
      </c>
      <c r="D4091" s="5">
        <v>78689.895250587404</v>
      </c>
      <c r="E4091" s="6">
        <v>91.809216886294905</v>
      </c>
    </row>
    <row r="4092" spans="1:5" x14ac:dyDescent="0.3">
      <c r="A4092" s="4">
        <v>4089</v>
      </c>
      <c r="B4092" s="5">
        <v>46213.175625369411</v>
      </c>
      <c r="C4092" s="19">
        <v>-42.602062840589774</v>
      </c>
      <c r="D4092" s="5">
        <v>89331.760718728518</v>
      </c>
      <c r="E4092" s="6">
        <v>93.303661801783903</v>
      </c>
    </row>
    <row r="4093" spans="1:5" x14ac:dyDescent="0.3">
      <c r="A4093" s="4">
        <v>4090</v>
      </c>
      <c r="B4093" s="5">
        <v>85853.084824334859</v>
      </c>
      <c r="C4093" s="19">
        <v>6.6317105674837871</v>
      </c>
      <c r="D4093" s="5">
        <v>146361.00292649365</v>
      </c>
      <c r="E4093" s="6">
        <v>70.478443757687742</v>
      </c>
    </row>
    <row r="4094" spans="1:5" x14ac:dyDescent="0.3">
      <c r="A4094" s="4">
        <v>4091</v>
      </c>
      <c r="B4094" s="5">
        <v>60952.242451929196</v>
      </c>
      <c r="C4094" s="19">
        <v>-24.295767719100521</v>
      </c>
      <c r="D4094" s="5">
        <v>137041.3117834185</v>
      </c>
      <c r="E4094" s="6">
        <v>124.83391302870925</v>
      </c>
    </row>
    <row r="4095" spans="1:5" x14ac:dyDescent="0.3">
      <c r="A4095" s="4">
        <v>4092</v>
      </c>
      <c r="B4095" s="5">
        <v>100287.90963552157</v>
      </c>
      <c r="C4095" s="19">
        <v>24.56012938328049</v>
      </c>
      <c r="D4095" s="5">
        <v>170200.06148724313</v>
      </c>
      <c r="E4095" s="6">
        <v>69.711445881965972</v>
      </c>
    </row>
    <row r="4096" spans="1:5" x14ac:dyDescent="0.3">
      <c r="A4096" s="4">
        <v>4093</v>
      </c>
      <c r="B4096" s="5">
        <v>132333.87803310491</v>
      </c>
      <c r="C4096" s="19">
        <v>64.362035558435934</v>
      </c>
      <c r="D4096" s="5">
        <v>220241.06832067261</v>
      </c>
      <c r="E4096" s="6">
        <v>66.428333843263218</v>
      </c>
    </row>
    <row r="4097" spans="1:5" x14ac:dyDescent="0.3">
      <c r="A4097" s="4">
        <v>4094</v>
      </c>
      <c r="B4097" s="5">
        <v>76264.807924387365</v>
      </c>
      <c r="C4097" s="19">
        <v>-5.2771727222438631</v>
      </c>
      <c r="D4097" s="5">
        <v>128280.51319642612</v>
      </c>
      <c r="E4097" s="6">
        <v>68.204073002595976</v>
      </c>
    </row>
    <row r="4098" spans="1:5" x14ac:dyDescent="0.3">
      <c r="A4098" s="4">
        <v>4095</v>
      </c>
      <c r="B4098" s="5">
        <v>64782.898382755317</v>
      </c>
      <c r="C4098" s="19">
        <v>-19.537995819171229</v>
      </c>
      <c r="D4098" s="5">
        <v>125961.53671933759</v>
      </c>
      <c r="E4098" s="6">
        <v>94.436401988564825</v>
      </c>
    </row>
    <row r="4099" spans="1:5" x14ac:dyDescent="0.3">
      <c r="A4099" s="4">
        <v>4096</v>
      </c>
      <c r="B4099" s="5">
        <v>172010.55785577762</v>
      </c>
      <c r="C4099" s="19">
        <v>113.64147901450559</v>
      </c>
      <c r="D4099" s="5">
        <v>263233.66990701779</v>
      </c>
      <c r="E4099" s="6">
        <v>53.033437707775043</v>
      </c>
    </row>
    <row r="4100" spans="1:5" x14ac:dyDescent="0.3">
      <c r="A4100" s="4">
        <v>4097</v>
      </c>
      <c r="B4100" s="5">
        <v>144781.32576607293</v>
      </c>
      <c r="C4100" s="19">
        <v>79.822081597335057</v>
      </c>
      <c r="D4100" s="5">
        <v>198987.64592143445</v>
      </c>
      <c r="E4100" s="6">
        <v>37.440132467735602</v>
      </c>
    </row>
    <row r="4101" spans="1:5" x14ac:dyDescent="0.3">
      <c r="A4101" s="4">
        <v>4098</v>
      </c>
      <c r="B4101" s="5">
        <v>58918.868830721774</v>
      </c>
      <c r="C4101" s="19">
        <v>-26.821269369924</v>
      </c>
      <c r="D4101" s="5">
        <v>101362.37088611291</v>
      </c>
      <c r="E4101" s="6">
        <v>72.037197756349386</v>
      </c>
    </row>
    <row r="4102" spans="1:5" x14ac:dyDescent="0.3">
      <c r="A4102" s="4">
        <v>4099</v>
      </c>
      <c r="B4102" s="5">
        <v>55597.718684830943</v>
      </c>
      <c r="C4102" s="19">
        <v>-30.946222152137921</v>
      </c>
      <c r="D4102" s="5">
        <v>98013.993286651472</v>
      </c>
      <c r="E4102" s="6">
        <v>76.291393972956683</v>
      </c>
    </row>
    <row r="4103" spans="1:5" x14ac:dyDescent="0.3">
      <c r="A4103" s="4">
        <v>4100</v>
      </c>
      <c r="B4103" s="5">
        <v>71208.22164557314</v>
      </c>
      <c r="C4103" s="19">
        <v>-11.557581232261613</v>
      </c>
      <c r="D4103" s="5">
        <v>127018.73263540983</v>
      </c>
      <c r="E4103" s="6">
        <v>78.37649880883707</v>
      </c>
    </row>
    <row r="4104" spans="1:5" x14ac:dyDescent="0.3">
      <c r="A4104" s="4">
        <v>4101</v>
      </c>
      <c r="B4104" s="5">
        <v>67164.975357211297</v>
      </c>
      <c r="C4104" s="19">
        <v>-16.579395752448171</v>
      </c>
      <c r="D4104" s="5">
        <v>107070.85818655175</v>
      </c>
      <c r="E4104" s="6">
        <v>59.414721165465124</v>
      </c>
    </row>
    <row r="4105" spans="1:5" x14ac:dyDescent="0.3">
      <c r="A4105" s="4">
        <v>4102</v>
      </c>
      <c r="B4105" s="5">
        <v>64866.568073721835</v>
      </c>
      <c r="C4105" s="19">
        <v>-19.434075939196411</v>
      </c>
      <c r="D4105" s="5">
        <v>128330.99857574452</v>
      </c>
      <c r="E4105" s="6">
        <v>97.838428001762651</v>
      </c>
    </row>
    <row r="4106" spans="1:5" x14ac:dyDescent="0.3">
      <c r="A4106" s="4">
        <v>4103</v>
      </c>
      <c r="B4106" s="5">
        <v>64378.151141463015</v>
      </c>
      <c r="C4106" s="19">
        <v>-20.04070216658759</v>
      </c>
      <c r="D4106" s="5">
        <v>112825.55050385668</v>
      </c>
      <c r="E4106" s="6">
        <v>75.25441241072069</v>
      </c>
    </row>
    <row r="4107" spans="1:5" x14ac:dyDescent="0.3">
      <c r="A4107" s="4">
        <v>4104</v>
      </c>
      <c r="B4107" s="5">
        <v>58688.186043322188</v>
      </c>
      <c r="C4107" s="19">
        <v>-27.107783247313773</v>
      </c>
      <c r="D4107" s="5">
        <v>120397.34081269008</v>
      </c>
      <c r="E4107" s="6">
        <v>105.14749037193907</v>
      </c>
    </row>
    <row r="4108" spans="1:5" x14ac:dyDescent="0.3">
      <c r="A4108" s="4">
        <v>4105</v>
      </c>
      <c r="B4108" s="5">
        <v>30704.75256328774</v>
      </c>
      <c r="C4108" s="19">
        <v>-61.863917935227555</v>
      </c>
      <c r="D4108" s="5">
        <v>59045.373915214746</v>
      </c>
      <c r="E4108" s="6">
        <v>92.30043881158835</v>
      </c>
    </row>
    <row r="4109" spans="1:5" x14ac:dyDescent="0.3">
      <c r="A4109" s="4">
        <v>4106</v>
      </c>
      <c r="B4109" s="5">
        <v>57447.124595958587</v>
      </c>
      <c r="C4109" s="19">
        <v>-28.649213066900497</v>
      </c>
      <c r="D4109" s="5">
        <v>103988.49397248964</v>
      </c>
      <c r="E4109" s="6">
        <v>81.016012035187643</v>
      </c>
    </row>
    <row r="4110" spans="1:5" x14ac:dyDescent="0.3">
      <c r="A4110" s="4">
        <v>4107</v>
      </c>
      <c r="B4110" s="5">
        <v>89753.848887529748</v>
      </c>
      <c r="C4110" s="19">
        <v>11.476558547375369</v>
      </c>
      <c r="D4110" s="5">
        <v>169105.52983664675</v>
      </c>
      <c r="E4110" s="6">
        <v>88.410337754487088</v>
      </c>
    </row>
    <row r="4111" spans="1:5" x14ac:dyDescent="0.3">
      <c r="A4111" s="4">
        <v>4108</v>
      </c>
      <c r="B4111" s="5">
        <v>57865.464447512117</v>
      </c>
      <c r="C4111" s="19">
        <v>-28.129624352517386</v>
      </c>
      <c r="D4111" s="5">
        <v>115221.20205637165</v>
      </c>
      <c r="E4111" s="6">
        <v>99.119117346556621</v>
      </c>
    </row>
    <row r="4112" spans="1:5" x14ac:dyDescent="0.3">
      <c r="A4112" s="4">
        <v>4109</v>
      </c>
      <c r="B4112" s="5">
        <v>99366.996022524763</v>
      </c>
      <c r="C4112" s="19">
        <v>23.416331300315189</v>
      </c>
      <c r="D4112" s="5">
        <v>182368.09131172314</v>
      </c>
      <c r="E4112" s="6">
        <v>83.52984251469519</v>
      </c>
    </row>
    <row r="4113" spans="1:5" x14ac:dyDescent="0.3">
      <c r="A4113" s="4">
        <v>4110</v>
      </c>
      <c r="B4113" s="5">
        <v>153842.26797436355</v>
      </c>
      <c r="C4113" s="19">
        <v>91.076001814646574</v>
      </c>
      <c r="D4113" s="5">
        <v>250719.81232049849</v>
      </c>
      <c r="E4113" s="6">
        <v>62.97199438211527</v>
      </c>
    </row>
    <row r="4114" spans="1:5" x14ac:dyDescent="0.3">
      <c r="A4114" s="4">
        <v>4111</v>
      </c>
      <c r="B4114" s="5">
        <v>129552.50045867845</v>
      </c>
      <c r="C4114" s="19">
        <v>60.907494011070753</v>
      </c>
      <c r="D4114" s="5">
        <v>256033.7558983434</v>
      </c>
      <c r="E4114" s="6">
        <v>97.629343310133109</v>
      </c>
    </row>
    <row r="4115" spans="1:5" x14ac:dyDescent="0.3">
      <c r="A4115" s="4">
        <v>4112</v>
      </c>
      <c r="B4115" s="5">
        <v>53578.063306135053</v>
      </c>
      <c r="C4115" s="19">
        <v>-33.45468539755084</v>
      </c>
      <c r="D4115" s="5">
        <v>86043.600055951887</v>
      </c>
      <c r="E4115" s="6">
        <v>60.594830694634879</v>
      </c>
    </row>
    <row r="4116" spans="1:5" x14ac:dyDescent="0.3">
      <c r="A4116" s="4">
        <v>4113</v>
      </c>
      <c r="B4116" s="5">
        <v>78693.408223035774</v>
      </c>
      <c r="C4116" s="19">
        <v>-2.2607895059685799</v>
      </c>
      <c r="D4116" s="5">
        <v>137423.64943126208</v>
      </c>
      <c r="E4116" s="6">
        <v>74.631716346267368</v>
      </c>
    </row>
    <row r="4117" spans="1:5" x14ac:dyDescent="0.3">
      <c r="A4117" s="4">
        <v>4114</v>
      </c>
      <c r="B4117" s="5">
        <v>76857.986308549356</v>
      </c>
      <c r="C4117" s="19">
        <v>-4.540430112420708</v>
      </c>
      <c r="D4117" s="5">
        <v>141099.98278363163</v>
      </c>
      <c r="E4117" s="6">
        <v>83.585323478526092</v>
      </c>
    </row>
    <row r="4118" spans="1:5" x14ac:dyDescent="0.3">
      <c r="A4118" s="4">
        <v>4115</v>
      </c>
      <c r="B4118" s="5">
        <v>131723.94293846854</v>
      </c>
      <c r="C4118" s="19">
        <v>63.604480688866694</v>
      </c>
      <c r="D4118" s="5">
        <v>280849.00005494844</v>
      </c>
      <c r="E4118" s="6">
        <v>113.21028948103979</v>
      </c>
    </row>
    <row r="4119" spans="1:5" x14ac:dyDescent="0.3">
      <c r="A4119" s="4">
        <v>4116</v>
      </c>
      <c r="B4119" s="5">
        <v>59565.79501736036</v>
      </c>
      <c r="C4119" s="19">
        <v>-26.017770625140184</v>
      </c>
      <c r="D4119" s="5">
        <v>123449.95901304086</v>
      </c>
      <c r="E4119" s="6">
        <v>107.24974622946199</v>
      </c>
    </row>
    <row r="4120" spans="1:5" x14ac:dyDescent="0.3">
      <c r="A4120" s="4">
        <v>4117</v>
      </c>
      <c r="B4120" s="5">
        <v>65358.465459812018</v>
      </c>
      <c r="C4120" s="19">
        <v>-18.823126899802052</v>
      </c>
      <c r="D4120" s="5">
        <v>127667.35217142418</v>
      </c>
      <c r="E4120" s="6">
        <v>95.33407229385611</v>
      </c>
    </row>
    <row r="4121" spans="1:5" x14ac:dyDescent="0.3">
      <c r="A4121" s="4">
        <v>4118</v>
      </c>
      <c r="B4121" s="5">
        <v>78655.405939333068</v>
      </c>
      <c r="C4121" s="19">
        <v>-2.3079893069423223</v>
      </c>
      <c r="D4121" s="5">
        <v>148252.64541462495</v>
      </c>
      <c r="E4121" s="6">
        <v>88.483733119338609</v>
      </c>
    </row>
    <row r="4122" spans="1:5" x14ac:dyDescent="0.3">
      <c r="A4122" s="4">
        <v>4119</v>
      </c>
      <c r="B4122" s="5">
        <v>72076.022919741867</v>
      </c>
      <c r="C4122" s="19">
        <v>-10.479750022275498</v>
      </c>
      <c r="D4122" s="5">
        <v>133667.86754002859</v>
      </c>
      <c r="E4122" s="6">
        <v>85.453999992300496</v>
      </c>
    </row>
    <row r="4123" spans="1:5" x14ac:dyDescent="0.3">
      <c r="A4123" s="4">
        <v>4120</v>
      </c>
      <c r="B4123" s="5">
        <v>114729.51226316819</v>
      </c>
      <c r="C4123" s="19">
        <v>42.496966419162241</v>
      </c>
      <c r="D4123" s="5">
        <v>224054.90254928157</v>
      </c>
      <c r="E4123" s="6">
        <v>95.289684519307684</v>
      </c>
    </row>
    <row r="4124" spans="1:5" x14ac:dyDescent="0.3">
      <c r="A4124" s="4">
        <v>4121</v>
      </c>
      <c r="B4124" s="5">
        <v>65291.760903820672</v>
      </c>
      <c r="C4124" s="19">
        <v>-18.905975651510339</v>
      </c>
      <c r="D4124" s="5">
        <v>112801.4887387661</v>
      </c>
      <c r="E4124" s="6">
        <v>72.765272642792681</v>
      </c>
    </row>
    <row r="4125" spans="1:5" x14ac:dyDescent="0.3">
      <c r="A4125" s="4">
        <v>4122</v>
      </c>
      <c r="B4125" s="5">
        <v>70536.363551623916</v>
      </c>
      <c r="C4125" s="19">
        <v>-12.392046038773824</v>
      </c>
      <c r="D4125" s="5">
        <v>149653.53597509634</v>
      </c>
      <c r="E4125" s="6">
        <v>112.16508541097163</v>
      </c>
    </row>
    <row r="4126" spans="1:5" x14ac:dyDescent="0.3">
      <c r="A4126" s="4">
        <v>4123</v>
      </c>
      <c r="B4126" s="5">
        <v>71855.213240807454</v>
      </c>
      <c r="C4126" s="19">
        <v>-10.754001248341629</v>
      </c>
      <c r="D4126" s="5">
        <v>138345.16582571436</v>
      </c>
      <c r="E4126" s="6">
        <v>92.533233966031077</v>
      </c>
    </row>
    <row r="4127" spans="1:5" x14ac:dyDescent="0.3">
      <c r="A4127" s="4">
        <v>4124</v>
      </c>
      <c r="B4127" s="5">
        <v>60723.36989931453</v>
      </c>
      <c r="C4127" s="19">
        <v>-24.580033238938086</v>
      </c>
      <c r="D4127" s="5">
        <v>116191.92556077945</v>
      </c>
      <c r="E4127" s="6">
        <v>91.34630662533614</v>
      </c>
    </row>
    <row r="4128" spans="1:5" x14ac:dyDescent="0.3">
      <c r="A4128" s="4">
        <v>4125</v>
      </c>
      <c r="B4128" s="5">
        <v>95339.962719296454</v>
      </c>
      <c r="C4128" s="19">
        <v>18.414653719199965</v>
      </c>
      <c r="D4128" s="5">
        <v>156627.56378991285</v>
      </c>
      <c r="E4128" s="6">
        <v>64.283223238781488</v>
      </c>
    </row>
    <row r="4129" spans="1:5" x14ac:dyDescent="0.3">
      <c r="A4129" s="4">
        <v>4126</v>
      </c>
      <c r="B4129" s="5">
        <v>49247.57857653642</v>
      </c>
      <c r="C4129" s="19">
        <v>-38.833257352749627</v>
      </c>
      <c r="D4129" s="5">
        <v>90439.706420782575</v>
      </c>
      <c r="E4129" s="6">
        <v>83.642950648281783</v>
      </c>
    </row>
    <row r="4130" spans="1:5" x14ac:dyDescent="0.3">
      <c r="A4130" s="4">
        <v>4127</v>
      </c>
      <c r="B4130" s="5">
        <v>50567.48209522423</v>
      </c>
      <c r="C4130" s="19">
        <v>-37.193903679323689</v>
      </c>
      <c r="D4130" s="5">
        <v>103718.19735298504</v>
      </c>
      <c r="E4130" s="6">
        <v>105.10848682889147</v>
      </c>
    </row>
    <row r="4131" spans="1:5" x14ac:dyDescent="0.3">
      <c r="A4131" s="4">
        <v>4128</v>
      </c>
      <c r="B4131" s="5">
        <v>25092.851792454334</v>
      </c>
      <c r="C4131" s="19">
        <v>-68.834041139924906</v>
      </c>
      <c r="D4131" s="5">
        <v>59016.929169750518</v>
      </c>
      <c r="E4131" s="6">
        <v>135.19418859954965</v>
      </c>
    </row>
    <row r="4132" spans="1:5" x14ac:dyDescent="0.3">
      <c r="A4132" s="4">
        <v>4129</v>
      </c>
      <c r="B4132" s="5">
        <v>73348.124358660774</v>
      </c>
      <c r="C4132" s="19">
        <v>-8.8997677452865194</v>
      </c>
      <c r="D4132" s="5">
        <v>128712.98820955152</v>
      </c>
      <c r="E4132" s="6">
        <v>75.482317148513957</v>
      </c>
    </row>
    <row r="4133" spans="1:5" x14ac:dyDescent="0.3">
      <c r="A4133" s="4">
        <v>4130</v>
      </c>
      <c r="B4133" s="5">
        <v>47426.505116290427</v>
      </c>
      <c r="C4133" s="19">
        <v>-41.095076814827195</v>
      </c>
      <c r="D4133" s="5">
        <v>94425.959500580444</v>
      </c>
      <c r="E4133" s="6">
        <v>99.099552600485154</v>
      </c>
    </row>
    <row r="4134" spans="1:5" x14ac:dyDescent="0.3">
      <c r="A4134" s="4">
        <v>4131</v>
      </c>
      <c r="B4134" s="5">
        <v>42502.969670743769</v>
      </c>
      <c r="C4134" s="19">
        <v>-47.210232812686776</v>
      </c>
      <c r="D4134" s="5">
        <v>82457.960342616454</v>
      </c>
      <c r="E4134" s="6">
        <v>94.005174182864351</v>
      </c>
    </row>
    <row r="4135" spans="1:5" x14ac:dyDescent="0.3">
      <c r="A4135" s="4">
        <v>4132</v>
      </c>
      <c r="B4135" s="5">
        <v>100784.70090876108</v>
      </c>
      <c r="C4135" s="19">
        <v>25.177156754736234</v>
      </c>
      <c r="D4135" s="5">
        <v>164902.61434199425</v>
      </c>
      <c r="E4135" s="6">
        <v>63.61869694020146</v>
      </c>
    </row>
    <row r="4136" spans="1:5" x14ac:dyDescent="0.3">
      <c r="A4136" s="4">
        <v>4133</v>
      </c>
      <c r="B4136" s="5">
        <v>49631.847179504897</v>
      </c>
      <c r="C4136" s="19">
        <v>-38.355985993942362</v>
      </c>
      <c r="D4136" s="5">
        <v>84864.413197624162</v>
      </c>
      <c r="E4136" s="6">
        <v>70.987819354562106</v>
      </c>
    </row>
    <row r="4137" spans="1:5" x14ac:dyDescent="0.3">
      <c r="A4137" s="4">
        <v>4134</v>
      </c>
      <c r="B4137" s="5">
        <v>132623.72169577365</v>
      </c>
      <c r="C4137" s="19">
        <v>64.722028744595193</v>
      </c>
      <c r="D4137" s="5">
        <v>272770.73425025144</v>
      </c>
      <c r="E4137" s="6">
        <v>105.6726585278325</v>
      </c>
    </row>
    <row r="4138" spans="1:5" x14ac:dyDescent="0.3">
      <c r="A4138" s="4">
        <v>4135</v>
      </c>
      <c r="B4138" s="5">
        <v>66240.498647517059</v>
      </c>
      <c r="C4138" s="19">
        <v>-17.727619291954046</v>
      </c>
      <c r="D4138" s="5">
        <v>121742.99144232922</v>
      </c>
      <c r="E4138" s="6">
        <v>83.789364404026273</v>
      </c>
    </row>
    <row r="4139" spans="1:5" x14ac:dyDescent="0.3">
      <c r="A4139" s="4">
        <v>4136</v>
      </c>
      <c r="B4139" s="5">
        <v>73162.243486366002</v>
      </c>
      <c r="C4139" s="19">
        <v>-9.1306365069055477</v>
      </c>
      <c r="D4139" s="5">
        <v>99785.260947978823</v>
      </c>
      <c r="E4139" s="6">
        <v>36.389011863166957</v>
      </c>
    </row>
    <row r="4140" spans="1:5" x14ac:dyDescent="0.3">
      <c r="A4140" s="4">
        <v>4137</v>
      </c>
      <c r="B4140" s="5">
        <v>92051.444077239576</v>
      </c>
      <c r="C4140" s="19">
        <v>14.330230093035864</v>
      </c>
      <c r="D4140" s="5">
        <v>166183.47857167749</v>
      </c>
      <c r="E4140" s="6">
        <v>80.53326619431887</v>
      </c>
    </row>
    <row r="4141" spans="1:5" x14ac:dyDescent="0.3">
      <c r="A4141" s="4">
        <v>4138</v>
      </c>
      <c r="B4141" s="5">
        <v>66463.27999953198</v>
      </c>
      <c r="C4141" s="19">
        <v>-17.450919197874789</v>
      </c>
      <c r="D4141" s="5">
        <v>105389.03597280588</v>
      </c>
      <c r="E4141" s="6">
        <v>58.567311113065756</v>
      </c>
    </row>
    <row r="4142" spans="1:5" x14ac:dyDescent="0.3">
      <c r="A4142" s="4">
        <v>4139</v>
      </c>
      <c r="B4142" s="5">
        <v>70497.579481902852</v>
      </c>
      <c r="C4142" s="19">
        <v>-12.440216837826501</v>
      </c>
      <c r="D4142" s="5">
        <v>121598.45166620062</v>
      </c>
      <c r="E4142" s="6">
        <v>72.485995348841257</v>
      </c>
    </row>
    <row r="4143" spans="1:5" x14ac:dyDescent="0.3">
      <c r="A4143" s="4">
        <v>4140</v>
      </c>
      <c r="B4143" s="5">
        <v>65866.348577477198</v>
      </c>
      <c r="C4143" s="19">
        <v>-18.192323176024448</v>
      </c>
      <c r="D4143" s="5">
        <v>127525.12254144248</v>
      </c>
      <c r="E4143" s="6">
        <v>93.611951012340342</v>
      </c>
    </row>
    <row r="4144" spans="1:5" x14ac:dyDescent="0.3">
      <c r="A4144" s="4">
        <v>4141</v>
      </c>
      <c r="B4144" s="5">
        <v>212161.96748716076</v>
      </c>
      <c r="C4144" s="19">
        <v>163.51054894309797</v>
      </c>
      <c r="D4144" s="5">
        <v>269306.63957713696</v>
      </c>
      <c r="E4144" s="6">
        <v>26.934456145366575</v>
      </c>
    </row>
    <row r="4145" spans="1:5" x14ac:dyDescent="0.3">
      <c r="A4145" s="4">
        <v>4142</v>
      </c>
      <c r="B4145" s="5">
        <v>63092.125142372555</v>
      </c>
      <c r="C4145" s="19">
        <v>-21.63797910075785</v>
      </c>
      <c r="D4145" s="5">
        <v>129500.98809460671</v>
      </c>
      <c r="E4145" s="6">
        <v>105.25697589418191</v>
      </c>
    </row>
    <row r="4146" spans="1:5" x14ac:dyDescent="0.3">
      <c r="A4146" s="4">
        <v>4143</v>
      </c>
      <c r="B4146" s="5">
        <v>46556.524143558709</v>
      </c>
      <c r="C4146" s="19">
        <v>-42.175615265756008</v>
      </c>
      <c r="D4146" s="5">
        <v>82105.533583914032</v>
      </c>
      <c r="E4146" s="6">
        <v>76.356665567942059</v>
      </c>
    </row>
    <row r="4147" spans="1:5" x14ac:dyDescent="0.3">
      <c r="A4147" s="4">
        <v>4144</v>
      </c>
      <c r="B4147" s="5">
        <v>54036.74683505197</v>
      </c>
      <c r="C4147" s="19">
        <v>-32.884988811835647</v>
      </c>
      <c r="D4147" s="5">
        <v>106965.53418889221</v>
      </c>
      <c r="E4147" s="6">
        <v>97.949618461315239</v>
      </c>
    </row>
    <row r="4148" spans="1:5" x14ac:dyDescent="0.3">
      <c r="A4148" s="4">
        <v>4145</v>
      </c>
      <c r="B4148" s="5">
        <v>78914.772033050074</v>
      </c>
      <c r="C4148" s="19">
        <v>-1.9858500350356769</v>
      </c>
      <c r="D4148" s="5">
        <v>144849.71203969355</v>
      </c>
      <c r="E4148" s="6">
        <v>83.55208829473581</v>
      </c>
    </row>
    <row r="4149" spans="1:5" x14ac:dyDescent="0.3">
      <c r="A4149" s="4">
        <v>4146</v>
      </c>
      <c r="B4149" s="5">
        <v>38514.177025817116</v>
      </c>
      <c r="C4149" s="19">
        <v>-52.164414525525679</v>
      </c>
      <c r="D4149" s="5">
        <v>82824.935583232189</v>
      </c>
      <c r="E4149" s="6">
        <v>115.05051380875241</v>
      </c>
    </row>
    <row r="4150" spans="1:5" x14ac:dyDescent="0.3">
      <c r="A4150" s="4">
        <v>4147</v>
      </c>
      <c r="B4150" s="5">
        <v>63584.008358451421</v>
      </c>
      <c r="C4150" s="19">
        <v>-21.027047660877223</v>
      </c>
      <c r="D4150" s="5">
        <v>143359.773365645</v>
      </c>
      <c r="E4150" s="6">
        <v>125.46513984689673</v>
      </c>
    </row>
    <row r="4151" spans="1:5" x14ac:dyDescent="0.3">
      <c r="A4151" s="4">
        <v>4148</v>
      </c>
      <c r="B4151" s="5">
        <v>126341.47298159615</v>
      </c>
      <c r="C4151" s="19">
        <v>56.919316378769466</v>
      </c>
      <c r="D4151" s="5">
        <v>226381.33402430342</v>
      </c>
      <c r="E4151" s="6">
        <v>79.182123400824864</v>
      </c>
    </row>
    <row r="4152" spans="1:5" x14ac:dyDescent="0.3">
      <c r="A4152" s="4">
        <v>4149</v>
      </c>
      <c r="B4152" s="5">
        <v>65608.288803744916</v>
      </c>
      <c r="C4152" s="19">
        <v>-18.512839965351642</v>
      </c>
      <c r="D4152" s="5">
        <v>123579.82738685103</v>
      </c>
      <c r="E4152" s="6">
        <v>88.360083215273704</v>
      </c>
    </row>
    <row r="4153" spans="1:5" x14ac:dyDescent="0.3">
      <c r="A4153" s="4">
        <v>4150</v>
      </c>
      <c r="B4153" s="5">
        <v>88794.946390370649</v>
      </c>
      <c r="C4153" s="19">
        <v>10.285577306005646</v>
      </c>
      <c r="D4153" s="5">
        <v>152880.15709951625</v>
      </c>
      <c r="E4153" s="6">
        <v>72.1721373955301</v>
      </c>
    </row>
    <row r="4154" spans="1:5" x14ac:dyDescent="0.3">
      <c r="A4154" s="4">
        <v>4151</v>
      </c>
      <c r="B4154" s="5">
        <v>47585.406914500956</v>
      </c>
      <c r="C4154" s="19">
        <v>-40.897716748032778</v>
      </c>
      <c r="D4154" s="5">
        <v>78758.676592621545</v>
      </c>
      <c r="E4154" s="6">
        <v>65.510146281046076</v>
      </c>
    </row>
    <row r="4155" spans="1:5" x14ac:dyDescent="0.3">
      <c r="A4155" s="4">
        <v>4152</v>
      </c>
      <c r="B4155" s="5">
        <v>43006.577807840134</v>
      </c>
      <c r="C4155" s="19">
        <v>-46.584738723287813</v>
      </c>
      <c r="D4155" s="5">
        <v>73683.042272517647</v>
      </c>
      <c r="E4155" s="6">
        <v>71.329703567078923</v>
      </c>
    </row>
    <row r="4156" spans="1:5" x14ac:dyDescent="0.3">
      <c r="A4156" s="4">
        <v>4153</v>
      </c>
      <c r="B4156" s="5">
        <v>35532.627450792323</v>
      </c>
      <c r="C4156" s="19">
        <v>-55.867574778615761</v>
      </c>
      <c r="D4156" s="5">
        <v>76295.397624399848</v>
      </c>
      <c r="E4156" s="6">
        <v>114.71926817136789</v>
      </c>
    </row>
    <row r="4157" spans="1:5" x14ac:dyDescent="0.3">
      <c r="A4157" s="4">
        <v>4154</v>
      </c>
      <c r="B4157" s="5">
        <v>78977.345848960904</v>
      </c>
      <c r="C4157" s="19">
        <v>-1.9081317673582958</v>
      </c>
      <c r="D4157" s="5">
        <v>145551.23626638265</v>
      </c>
      <c r="E4157" s="6">
        <v>84.294919893535081</v>
      </c>
    </row>
    <row r="4158" spans="1:5" x14ac:dyDescent="0.3">
      <c r="A4158" s="4">
        <v>4155</v>
      </c>
      <c r="B4158" s="5">
        <v>86236.726012612213</v>
      </c>
      <c r="C4158" s="19">
        <v>7.1082026613189626</v>
      </c>
      <c r="D4158" s="5">
        <v>163271.65414064954</v>
      </c>
      <c r="E4158" s="6">
        <v>89.32960664203658</v>
      </c>
    </row>
    <row r="4159" spans="1:5" x14ac:dyDescent="0.3">
      <c r="A4159" s="4">
        <v>4156</v>
      </c>
      <c r="B4159" s="5">
        <v>52004.388251357581</v>
      </c>
      <c r="C4159" s="19">
        <v>-35.40922976030317</v>
      </c>
      <c r="D4159" s="5">
        <v>114142.66322551286</v>
      </c>
      <c r="E4159" s="6">
        <v>119.48659923431204</v>
      </c>
    </row>
    <row r="4160" spans="1:5" x14ac:dyDescent="0.3">
      <c r="A4160" s="4">
        <v>4157</v>
      </c>
      <c r="B4160" s="5">
        <v>63123.930111387279</v>
      </c>
      <c r="C4160" s="19">
        <v>-21.598476521933517</v>
      </c>
      <c r="D4160" s="5">
        <v>123420.09920675438</v>
      </c>
      <c r="E4160" s="6">
        <v>95.520302663300015</v>
      </c>
    </row>
    <row r="4161" spans="1:5" x14ac:dyDescent="0.3">
      <c r="A4161" s="4">
        <v>4158</v>
      </c>
      <c r="B4161" s="5">
        <v>115371.96490610769</v>
      </c>
      <c r="C4161" s="19">
        <v>43.294908909119492</v>
      </c>
      <c r="D4161" s="5">
        <v>194873.42049408844</v>
      </c>
      <c r="E4161" s="6">
        <v>68.908816498601567</v>
      </c>
    </row>
    <row r="4162" spans="1:5" x14ac:dyDescent="0.3">
      <c r="A4162" s="4">
        <v>4159</v>
      </c>
      <c r="B4162" s="5">
        <v>53053.980271037522</v>
      </c>
      <c r="C4162" s="19">
        <v>-34.105609829983216</v>
      </c>
      <c r="D4162" s="5">
        <v>117865.61043634966</v>
      </c>
      <c r="E4162" s="6">
        <v>122.16167351480165</v>
      </c>
    </row>
    <row r="4163" spans="1:5" x14ac:dyDescent="0.3">
      <c r="A4163" s="4">
        <v>4160</v>
      </c>
      <c r="B4163" s="5">
        <v>119259.37050770214</v>
      </c>
      <c r="C4163" s="19">
        <v>48.123165340624432</v>
      </c>
      <c r="D4163" s="5">
        <v>183178.4440288287</v>
      </c>
      <c r="E4163" s="6">
        <v>53.596688670261315</v>
      </c>
    </row>
    <row r="4164" spans="1:5" x14ac:dyDescent="0.3">
      <c r="A4164" s="4">
        <v>4161</v>
      </c>
      <c r="B4164" s="5">
        <v>89814.482112774218</v>
      </c>
      <c r="C4164" s="19">
        <v>11.551866552186965</v>
      </c>
      <c r="D4164" s="5">
        <v>164263.68506748939</v>
      </c>
      <c r="E4164" s="6">
        <v>82.892203131822484</v>
      </c>
    </row>
    <row r="4165" spans="1:5" x14ac:dyDescent="0.3">
      <c r="A4165" s="4">
        <v>4162</v>
      </c>
      <c r="B4165" s="5">
        <v>42052.176197164859</v>
      </c>
      <c r="C4165" s="19">
        <v>-47.770129749398265</v>
      </c>
      <c r="D4165" s="5">
        <v>82054.525908783806</v>
      </c>
      <c r="E4165" s="6">
        <v>95.125516273081459</v>
      </c>
    </row>
    <row r="4166" spans="1:5" x14ac:dyDescent="0.3">
      <c r="A4166" s="4">
        <v>4163</v>
      </c>
      <c r="B4166" s="5">
        <v>39437.993140699109</v>
      </c>
      <c r="C4166" s="19">
        <v>-51.017011461544548</v>
      </c>
      <c r="D4166" s="5">
        <v>82289.558992369275</v>
      </c>
      <c r="E4166" s="6">
        <v>108.65554364998438</v>
      </c>
    </row>
    <row r="4167" spans="1:5" x14ac:dyDescent="0.3">
      <c r="A4167" s="4">
        <v>4164</v>
      </c>
      <c r="B4167" s="5">
        <v>92837.686774850459</v>
      </c>
      <c r="C4167" s="19">
        <v>15.306763480729321</v>
      </c>
      <c r="D4167" s="5">
        <v>180940.91728499104</v>
      </c>
      <c r="E4167" s="6">
        <v>94.900286263926574</v>
      </c>
    </row>
    <row r="4168" spans="1:5" x14ac:dyDescent="0.3">
      <c r="A4168" s="4">
        <v>4165</v>
      </c>
      <c r="B4168" s="5">
        <v>112533.66096070224</v>
      </c>
      <c r="C4168" s="19">
        <v>39.769663364031807</v>
      </c>
      <c r="D4168" s="5">
        <v>216355.01246862096</v>
      </c>
      <c r="E4168" s="6">
        <v>92.258041390987955</v>
      </c>
    </row>
    <row r="4169" spans="1:5" x14ac:dyDescent="0.3">
      <c r="A4169" s="4">
        <v>4166</v>
      </c>
      <c r="B4169" s="5">
        <v>44216.369434546679</v>
      </c>
      <c r="C4169" s="19">
        <v>-45.082146814681487</v>
      </c>
      <c r="D4169" s="5">
        <v>87900.593892528545</v>
      </c>
      <c r="E4169" s="6">
        <v>98.796497805292347</v>
      </c>
    </row>
    <row r="4170" spans="1:5" x14ac:dyDescent="0.3">
      <c r="A4170" s="4">
        <v>4167</v>
      </c>
      <c r="B4170" s="5">
        <v>81213.774624227794</v>
      </c>
      <c r="C4170" s="19">
        <v>0.86956953897212363</v>
      </c>
      <c r="D4170" s="5">
        <v>169986.69370351936</v>
      </c>
      <c r="E4170" s="6">
        <v>109.30771225699034</v>
      </c>
    </row>
    <row r="4171" spans="1:5" x14ac:dyDescent="0.3">
      <c r="A4171" s="4">
        <v>4168</v>
      </c>
      <c r="B4171" s="5">
        <v>34962.325674124077</v>
      </c>
      <c r="C4171" s="19">
        <v>-56.575904061252949</v>
      </c>
      <c r="D4171" s="5">
        <v>66116.93065849402</v>
      </c>
      <c r="E4171" s="6">
        <v>89.109074936132586</v>
      </c>
    </row>
    <row r="4172" spans="1:5" x14ac:dyDescent="0.3">
      <c r="A4172" s="4">
        <v>4169</v>
      </c>
      <c r="B4172" s="5">
        <v>163928.78285276887</v>
      </c>
      <c r="C4172" s="19">
        <v>103.60370932043297</v>
      </c>
      <c r="D4172" s="5">
        <v>297892.3728086428</v>
      </c>
      <c r="E4172" s="6">
        <v>81.720603072001154</v>
      </c>
    </row>
    <row r="4173" spans="1:5" x14ac:dyDescent="0.3">
      <c r="A4173" s="4">
        <v>4170</v>
      </c>
      <c r="B4173" s="5">
        <v>72704.058466183909</v>
      </c>
      <c r="C4173" s="19">
        <v>-9.6997139321184065</v>
      </c>
      <c r="D4173" s="5">
        <v>140163.91913785069</v>
      </c>
      <c r="E4173" s="6">
        <v>92.786925647408935</v>
      </c>
    </row>
    <row r="4174" spans="1:5" x14ac:dyDescent="0.3">
      <c r="A4174" s="4">
        <v>4171</v>
      </c>
      <c r="B4174" s="5">
        <v>131803.63989679163</v>
      </c>
      <c r="C4174" s="19">
        <v>63.703466334058191</v>
      </c>
      <c r="D4174" s="5">
        <v>234022.47948897307</v>
      </c>
      <c r="E4174" s="6">
        <v>77.553882178233863</v>
      </c>
    </row>
    <row r="4175" spans="1:5" x14ac:dyDescent="0.3">
      <c r="A4175" s="4">
        <v>4172</v>
      </c>
      <c r="B4175" s="5">
        <v>127057.66209090927</v>
      </c>
      <c r="C4175" s="19">
        <v>57.808841431621317</v>
      </c>
      <c r="D4175" s="5">
        <v>234867.11282292326</v>
      </c>
      <c r="E4175" s="6">
        <v>84.850806285792288</v>
      </c>
    </row>
    <row r="4176" spans="1:5" x14ac:dyDescent="0.3">
      <c r="A4176" s="4">
        <v>4173</v>
      </c>
      <c r="B4176" s="5">
        <v>20881.578259972383</v>
      </c>
      <c r="C4176" s="19">
        <v>-74.064549762357501</v>
      </c>
      <c r="D4176" s="5">
        <v>43639.936233371584</v>
      </c>
      <c r="E4176" s="6">
        <v>108.98772923225057</v>
      </c>
    </row>
    <row r="4177" spans="1:5" x14ac:dyDescent="0.3">
      <c r="A4177" s="4">
        <v>4174</v>
      </c>
      <c r="B4177" s="5">
        <v>52826.064635338967</v>
      </c>
      <c r="C4177" s="19">
        <v>-34.388686834721476</v>
      </c>
      <c r="D4177" s="5">
        <v>117716.79252523232</v>
      </c>
      <c r="E4177" s="6">
        <v>122.83846683987795</v>
      </c>
    </row>
    <row r="4178" spans="1:5" x14ac:dyDescent="0.3">
      <c r="A4178" s="4">
        <v>4175</v>
      </c>
      <c r="B4178" s="5">
        <v>54279.707393191682</v>
      </c>
      <c r="C4178" s="19">
        <v>-32.583225631539015</v>
      </c>
      <c r="D4178" s="5">
        <v>102919.5447175131</v>
      </c>
      <c r="E4178" s="6">
        <v>89.609615932495473</v>
      </c>
    </row>
    <row r="4179" spans="1:5" x14ac:dyDescent="0.3">
      <c r="A4179" s="4">
        <v>4176</v>
      </c>
      <c r="B4179" s="5">
        <v>121012.06082993367</v>
      </c>
      <c r="C4179" s="19">
        <v>50.300051209513427</v>
      </c>
      <c r="D4179" s="5">
        <v>205652.06022890224</v>
      </c>
      <c r="E4179" s="6">
        <v>69.943441024377563</v>
      </c>
    </row>
    <row r="4180" spans="1:5" x14ac:dyDescent="0.3">
      <c r="A4180" s="4">
        <v>4177</v>
      </c>
      <c r="B4180" s="5">
        <v>40970.232521066981</v>
      </c>
      <c r="C4180" s="19">
        <v>-49.113931258173963</v>
      </c>
      <c r="D4180" s="5">
        <v>84289.94110218875</v>
      </c>
      <c r="E4180" s="6">
        <v>105.73459293609497</v>
      </c>
    </row>
    <row r="4181" spans="1:5" x14ac:dyDescent="0.3">
      <c r="A4181" s="4">
        <v>4178</v>
      </c>
      <c r="B4181" s="5">
        <v>75529.819627741628</v>
      </c>
      <c r="C4181" s="19">
        <v>-6.190046842944084</v>
      </c>
      <c r="D4181" s="5">
        <v>143548.4420095747</v>
      </c>
      <c r="E4181" s="6">
        <v>90.05532214570556</v>
      </c>
    </row>
    <row r="4182" spans="1:5" x14ac:dyDescent="0.3">
      <c r="A4182" s="4">
        <v>4179</v>
      </c>
      <c r="B4182" s="5">
        <v>79489.20153655074</v>
      </c>
      <c r="C4182" s="19">
        <v>-1.2723940108982135</v>
      </c>
      <c r="D4182" s="5">
        <v>134073.10855311155</v>
      </c>
      <c r="E4182" s="6">
        <v>68.668329737168179</v>
      </c>
    </row>
    <row r="4183" spans="1:5" x14ac:dyDescent="0.3">
      <c r="A4183" s="4">
        <v>4180</v>
      </c>
      <c r="B4183" s="5">
        <v>92312.42554822439</v>
      </c>
      <c r="C4183" s="19">
        <v>14.654375704512375</v>
      </c>
      <c r="D4183" s="5">
        <v>140796.7297566749</v>
      </c>
      <c r="E4183" s="6">
        <v>52.521969735398308</v>
      </c>
    </row>
    <row r="4184" spans="1:5" x14ac:dyDescent="0.3">
      <c r="A4184" s="4">
        <v>4181</v>
      </c>
      <c r="B4184" s="5">
        <v>62961.204939881762</v>
      </c>
      <c r="C4184" s="19">
        <v>-21.8005853154093</v>
      </c>
      <c r="D4184" s="5">
        <v>122013.62241171241</v>
      </c>
      <c r="E4184" s="6">
        <v>93.791752442184986</v>
      </c>
    </row>
    <row r="4185" spans="1:5" x14ac:dyDescent="0.3">
      <c r="A4185" s="4">
        <v>4182</v>
      </c>
      <c r="B4185" s="5">
        <v>113721.96780881277</v>
      </c>
      <c r="C4185" s="19">
        <v>41.245570632272035</v>
      </c>
      <c r="D4185" s="5">
        <v>207361.94586613085</v>
      </c>
      <c r="E4185" s="6">
        <v>82.341151724303472</v>
      </c>
    </row>
    <row r="4186" spans="1:5" x14ac:dyDescent="0.3">
      <c r="A4186" s="4">
        <v>4183</v>
      </c>
      <c r="B4186" s="5">
        <v>60190.356046943612</v>
      </c>
      <c r="C4186" s="19">
        <v>-25.242049973115648</v>
      </c>
      <c r="D4186" s="5">
        <v>118447.17492817063</v>
      </c>
      <c r="E4186" s="6">
        <v>96.787629625901204</v>
      </c>
    </row>
    <row r="4187" spans="1:5" x14ac:dyDescent="0.3">
      <c r="A4187" s="4">
        <v>4184</v>
      </c>
      <c r="B4187" s="5">
        <v>40593.730495904507</v>
      </c>
      <c r="C4187" s="19">
        <v>-49.58155633020651</v>
      </c>
      <c r="D4187" s="5">
        <v>76122.378585871964</v>
      </c>
      <c r="E4187" s="6">
        <v>87.522500780143702</v>
      </c>
    </row>
    <row r="4188" spans="1:5" x14ac:dyDescent="0.3">
      <c r="A4188" s="4">
        <v>4185</v>
      </c>
      <c r="B4188" s="5">
        <v>34378.137404927533</v>
      </c>
      <c r="C4188" s="19">
        <v>-57.301480720092215</v>
      </c>
      <c r="D4188" s="5">
        <v>70744.363009766239</v>
      </c>
      <c r="E4188" s="6">
        <v>105.78300149450858</v>
      </c>
    </row>
    <row r="4189" spans="1:5" x14ac:dyDescent="0.3">
      <c r="A4189" s="4">
        <v>4186</v>
      </c>
      <c r="B4189" s="5">
        <v>37383.470137719349</v>
      </c>
      <c r="C4189" s="19">
        <v>-53.568781181365708</v>
      </c>
      <c r="D4189" s="5">
        <v>68110.750800658847</v>
      </c>
      <c r="E4189" s="6">
        <v>82.194832501480761</v>
      </c>
    </row>
    <row r="4190" spans="1:5" x14ac:dyDescent="0.3">
      <c r="A4190" s="4">
        <v>4187</v>
      </c>
      <c r="B4190" s="5">
        <v>47028.452903599871</v>
      </c>
      <c r="C4190" s="19">
        <v>-41.589467766779748</v>
      </c>
      <c r="D4190" s="5">
        <v>82776.610379812424</v>
      </c>
      <c r="E4190" s="6">
        <v>76.013892163303865</v>
      </c>
    </row>
    <row r="4191" spans="1:5" x14ac:dyDescent="0.3">
      <c r="A4191" s="4">
        <v>4188</v>
      </c>
      <c r="B4191" s="5">
        <v>45386.528717417321</v>
      </c>
      <c r="C4191" s="19">
        <v>-43.628779283110283</v>
      </c>
      <c r="D4191" s="5">
        <v>93063.758488798383</v>
      </c>
      <c r="E4191" s="6">
        <v>105.04709463071291</v>
      </c>
    </row>
    <row r="4192" spans="1:5" x14ac:dyDescent="0.3">
      <c r="A4192" s="4">
        <v>4189</v>
      </c>
      <c r="B4192" s="5">
        <v>84133.981509485893</v>
      </c>
      <c r="C4192" s="19">
        <v>4.4965406143056121</v>
      </c>
      <c r="D4192" s="5">
        <v>171369.37946037675</v>
      </c>
      <c r="E4192" s="6">
        <v>103.68628274302611</v>
      </c>
    </row>
    <row r="4193" spans="1:5" x14ac:dyDescent="0.3">
      <c r="A4193" s="4">
        <v>4190</v>
      </c>
      <c r="B4193" s="5">
        <v>107449.31972923563</v>
      </c>
      <c r="C4193" s="19">
        <v>33.454782498313634</v>
      </c>
      <c r="D4193" s="5">
        <v>210916.79621640893</v>
      </c>
      <c r="E4193" s="6">
        <v>96.294212702233679</v>
      </c>
    </row>
    <row r="4194" spans="1:5" x14ac:dyDescent="0.3">
      <c r="A4194" s="4">
        <v>4191</v>
      </c>
      <c r="B4194" s="5">
        <v>66774.77829728731</v>
      </c>
      <c r="C4194" s="19">
        <v>-17.064030405276675</v>
      </c>
      <c r="D4194" s="5">
        <v>122984.8598607731</v>
      </c>
      <c r="E4194" s="6">
        <v>84.178612040063172</v>
      </c>
    </row>
    <row r="4195" spans="1:5" x14ac:dyDescent="0.3">
      <c r="A4195" s="4">
        <v>4192</v>
      </c>
      <c r="B4195" s="5">
        <v>52011.207663981622</v>
      </c>
      <c r="C4195" s="19">
        <v>-35.400759876726418</v>
      </c>
      <c r="D4195" s="5">
        <v>103121.91186318133</v>
      </c>
      <c r="E4195" s="6">
        <v>98.268635732129866</v>
      </c>
    </row>
    <row r="4196" spans="1:5" x14ac:dyDescent="0.3">
      <c r="A4196" s="4">
        <v>4193</v>
      </c>
      <c r="B4196" s="5">
        <v>76392.71503198822</v>
      </c>
      <c r="C4196" s="19">
        <v>-5.118308847927346</v>
      </c>
      <c r="D4196" s="5">
        <v>137929.37656598722</v>
      </c>
      <c r="E4196" s="6">
        <v>80.553049473672331</v>
      </c>
    </row>
    <row r="4197" spans="1:5" x14ac:dyDescent="0.3">
      <c r="A4197" s="4">
        <v>4194</v>
      </c>
      <c r="B4197" s="5">
        <v>81867.218578070228</v>
      </c>
      <c r="C4197" s="19">
        <v>1.6811635160641225</v>
      </c>
      <c r="D4197" s="5">
        <v>142014.59054068718</v>
      </c>
      <c r="E4197" s="6">
        <v>73.469421591817238</v>
      </c>
    </row>
    <row r="4198" spans="1:5" x14ac:dyDescent="0.3">
      <c r="A4198" s="4">
        <v>4195</v>
      </c>
      <c r="B4198" s="5">
        <v>42146.060796739657</v>
      </c>
      <c r="C4198" s="19">
        <v>-47.653522693646131</v>
      </c>
      <c r="D4198" s="5">
        <v>76116.48282271334</v>
      </c>
      <c r="E4198" s="6">
        <v>80.601653829060993</v>
      </c>
    </row>
    <row r="4199" spans="1:5" x14ac:dyDescent="0.3">
      <c r="A4199" s="4">
        <v>4196</v>
      </c>
      <c r="B4199" s="5">
        <v>55733.473682862168</v>
      </c>
      <c r="C4199" s="19">
        <v>-30.77761099870326</v>
      </c>
      <c r="D4199" s="5">
        <v>82525.330034497005</v>
      </c>
      <c r="E4199" s="6">
        <v>48.071391537673399</v>
      </c>
    </row>
    <row r="4200" spans="1:5" x14ac:dyDescent="0.3">
      <c r="A4200" s="4">
        <v>4197</v>
      </c>
      <c r="B4200" s="5">
        <v>36338.388337752898</v>
      </c>
      <c r="C4200" s="19">
        <v>-54.866799304318235</v>
      </c>
      <c r="D4200" s="5">
        <v>78200.695283708628</v>
      </c>
      <c r="E4200" s="6">
        <v>115.2013307713592</v>
      </c>
    </row>
    <row r="4201" spans="1:5" x14ac:dyDescent="0.3">
      <c r="A4201" s="4">
        <v>4198</v>
      </c>
      <c r="B4201" s="5">
        <v>121635.66764483113</v>
      </c>
      <c r="C4201" s="19">
        <v>51.074586702677308</v>
      </c>
      <c r="D4201" s="5">
        <v>225233.77136267311</v>
      </c>
      <c r="E4201" s="6">
        <v>85.170826718641635</v>
      </c>
    </row>
    <row r="4202" spans="1:5" x14ac:dyDescent="0.3">
      <c r="A4202" s="4">
        <v>4199</v>
      </c>
      <c r="B4202" s="5">
        <v>100220.57683568283</v>
      </c>
      <c r="C4202" s="19">
        <v>24.476500336766978</v>
      </c>
      <c r="D4202" s="5">
        <v>173231.45438733892</v>
      </c>
      <c r="E4202" s="6">
        <v>72.850186914570898</v>
      </c>
    </row>
    <row r="4203" spans="1:5" x14ac:dyDescent="0.3">
      <c r="A4203" s="4">
        <v>4200</v>
      </c>
      <c r="B4203" s="5">
        <v>49191.261442455485</v>
      </c>
      <c r="C4203" s="19">
        <v>-38.903204662780425</v>
      </c>
      <c r="D4203" s="5">
        <v>83958.40633404543</v>
      </c>
      <c r="E4203" s="6">
        <v>70.677481878079021</v>
      </c>
    </row>
    <row r="4204" spans="1:5" x14ac:dyDescent="0.3">
      <c r="A4204" s="4">
        <v>4201</v>
      </c>
      <c r="B4204" s="5">
        <v>51307.19308627351</v>
      </c>
      <c r="C4204" s="19">
        <v>-36.275163852297744</v>
      </c>
      <c r="D4204" s="5">
        <v>108145.43654424793</v>
      </c>
      <c r="E4204" s="6">
        <v>110.78026303719324</v>
      </c>
    </row>
    <row r="4205" spans="1:5" x14ac:dyDescent="0.3">
      <c r="A4205" s="4">
        <v>4202</v>
      </c>
      <c r="B4205" s="5">
        <v>77047.906273345827</v>
      </c>
      <c r="C4205" s="19">
        <v>-4.3045446953899651</v>
      </c>
      <c r="D4205" s="5">
        <v>156003.11068073998</v>
      </c>
      <c r="E4205" s="6">
        <v>102.47547042651843</v>
      </c>
    </row>
    <row r="4206" spans="1:5" x14ac:dyDescent="0.3">
      <c r="A4206" s="4">
        <v>4203</v>
      </c>
      <c r="B4206" s="5">
        <v>41896.838563325735</v>
      </c>
      <c r="C4206" s="19">
        <v>-47.963063033573938</v>
      </c>
      <c r="D4206" s="5">
        <v>76161.170527241251</v>
      </c>
      <c r="E4206" s="6">
        <v>81.78261925926958</v>
      </c>
    </row>
    <row r="4207" spans="1:5" x14ac:dyDescent="0.3">
      <c r="A4207" s="4">
        <v>4204</v>
      </c>
      <c r="B4207" s="5">
        <v>64513.624491341216</v>
      </c>
      <c r="C4207" s="19">
        <v>-19.872440827308083</v>
      </c>
      <c r="D4207" s="5">
        <v>123179.67536302451</v>
      </c>
      <c r="E4207" s="6">
        <v>90.935909018035773</v>
      </c>
    </row>
    <row r="4208" spans="1:5" x14ac:dyDescent="0.3">
      <c r="A4208" s="4">
        <v>4205</v>
      </c>
      <c r="B4208" s="5">
        <v>127880.54650600287</v>
      </c>
      <c r="C4208" s="19">
        <v>58.830884762507921</v>
      </c>
      <c r="D4208" s="5">
        <v>230124.34745344118</v>
      </c>
      <c r="E4208" s="6">
        <v>79.952583673576086</v>
      </c>
    </row>
    <row r="4209" spans="1:5" x14ac:dyDescent="0.3">
      <c r="A4209" s="4">
        <v>4206</v>
      </c>
      <c r="B4209" s="5">
        <v>71599.286440218537</v>
      </c>
      <c r="C4209" s="19">
        <v>-11.071868830883338</v>
      </c>
      <c r="D4209" s="5">
        <v>134964.23614123787</v>
      </c>
      <c r="E4209" s="6">
        <v>88.499415079961125</v>
      </c>
    </row>
    <row r="4210" spans="1:5" x14ac:dyDescent="0.3">
      <c r="A4210" s="4">
        <v>4207</v>
      </c>
      <c r="B4210" s="5">
        <v>24848.245553295103</v>
      </c>
      <c r="C4210" s="19">
        <v>-69.137848297820241</v>
      </c>
      <c r="D4210" s="5">
        <v>49294.036298327803</v>
      </c>
      <c r="E4210" s="6">
        <v>98.380349198500923</v>
      </c>
    </row>
    <row r="4211" spans="1:5" x14ac:dyDescent="0.3">
      <c r="A4211" s="4">
        <v>4208</v>
      </c>
      <c r="B4211" s="5">
        <v>28045.005551065777</v>
      </c>
      <c r="C4211" s="19">
        <v>-65.167391236976542</v>
      </c>
      <c r="D4211" s="5">
        <v>56416.926946611806</v>
      </c>
      <c r="E4211" s="6">
        <v>101.16568293732368</v>
      </c>
    </row>
    <row r="4212" spans="1:5" x14ac:dyDescent="0.3">
      <c r="A4212" s="4">
        <v>4209</v>
      </c>
      <c r="B4212" s="5">
        <v>30626.904669124404</v>
      </c>
      <c r="C4212" s="19">
        <v>-61.960606995797697</v>
      </c>
      <c r="D4212" s="5">
        <v>61687.86148171527</v>
      </c>
      <c r="E4212" s="6">
        <v>101.41722497965667</v>
      </c>
    </row>
    <row r="4213" spans="1:5" x14ac:dyDescent="0.3">
      <c r="A4213" s="4">
        <v>4210</v>
      </c>
      <c r="B4213" s="5">
        <v>54328.690063088143</v>
      </c>
      <c r="C4213" s="19">
        <v>-32.522387912196614</v>
      </c>
      <c r="D4213" s="5">
        <v>122070.34640929339</v>
      </c>
      <c r="E4213" s="6">
        <v>124.68855086979191</v>
      </c>
    </row>
    <row r="4214" spans="1:5" x14ac:dyDescent="0.3">
      <c r="A4214" s="4">
        <v>4211</v>
      </c>
      <c r="B4214" s="5">
        <v>49321.776144452175</v>
      </c>
      <c r="C4214" s="19">
        <v>-38.741102090035511</v>
      </c>
      <c r="D4214" s="5">
        <v>95139.83118089856</v>
      </c>
      <c r="E4214" s="6">
        <v>92.896198430194005</v>
      </c>
    </row>
    <row r="4215" spans="1:5" x14ac:dyDescent="0.3">
      <c r="A4215" s="4">
        <v>4212</v>
      </c>
      <c r="B4215" s="5">
        <v>35390.194287085258</v>
      </c>
      <c r="C4215" s="19">
        <v>-56.044480383332228</v>
      </c>
      <c r="D4215" s="5">
        <v>71343.947749448736</v>
      </c>
      <c r="E4215" s="6">
        <v>101.5924161667682</v>
      </c>
    </row>
    <row r="4216" spans="1:5" x14ac:dyDescent="0.3">
      <c r="A4216" s="4">
        <v>4213</v>
      </c>
      <c r="B4216" s="5">
        <v>55065.09179216269</v>
      </c>
      <c r="C4216" s="19">
        <v>-31.607758272542547</v>
      </c>
      <c r="D4216" s="5">
        <v>109975.96836849462</v>
      </c>
      <c r="E4216" s="6">
        <v>99.719940145722759</v>
      </c>
    </row>
    <row r="4217" spans="1:5" x14ac:dyDescent="0.3">
      <c r="A4217" s="4">
        <v>4214</v>
      </c>
      <c r="B4217" s="5">
        <v>57880.162746187554</v>
      </c>
      <c r="C4217" s="19">
        <v>-28.111368692474414</v>
      </c>
      <c r="D4217" s="5">
        <v>119039.54452313764</v>
      </c>
      <c r="E4217" s="6">
        <v>105.66553180774967</v>
      </c>
    </row>
    <row r="4218" spans="1:5" x14ac:dyDescent="0.3">
      <c r="A4218" s="4">
        <v>4215</v>
      </c>
      <c r="B4218" s="5">
        <v>47946.9008280993</v>
      </c>
      <c r="C4218" s="19">
        <v>-40.448732131514959</v>
      </c>
      <c r="D4218" s="5">
        <v>97850.108621559062</v>
      </c>
      <c r="E4218" s="6">
        <v>104.08015311015465</v>
      </c>
    </row>
    <row r="4219" spans="1:5" x14ac:dyDescent="0.3">
      <c r="A4219" s="4">
        <v>4216</v>
      </c>
      <c r="B4219" s="5">
        <v>33641.880530709139</v>
      </c>
      <c r="C4219" s="19">
        <v>-58.215930446338071</v>
      </c>
      <c r="D4219" s="5">
        <v>62115.588065816082</v>
      </c>
      <c r="E4219" s="6">
        <v>84.637681027121658</v>
      </c>
    </row>
    <row r="4220" spans="1:5" x14ac:dyDescent="0.3">
      <c r="A4220" s="4">
        <v>4217</v>
      </c>
      <c r="B4220" s="5">
        <v>23713.283857521277</v>
      </c>
      <c r="C4220" s="19">
        <v>-70.547499532794049</v>
      </c>
      <c r="D4220" s="5">
        <v>50749.204763213696</v>
      </c>
      <c r="E4220" s="6">
        <v>114.01171203505534</v>
      </c>
    </row>
    <row r="4221" spans="1:5" x14ac:dyDescent="0.3">
      <c r="A4221" s="4">
        <v>4218</v>
      </c>
      <c r="B4221" s="5">
        <v>45344.980218568395</v>
      </c>
      <c r="C4221" s="19">
        <v>-43.680383573309491</v>
      </c>
      <c r="D4221" s="5">
        <v>98764.500509317993</v>
      </c>
      <c r="E4221" s="6">
        <v>117.80691056267072</v>
      </c>
    </row>
    <row r="4222" spans="1:5" x14ac:dyDescent="0.3">
      <c r="A4222" s="4">
        <v>4219</v>
      </c>
      <c r="B4222" s="5">
        <v>38160.431544130457</v>
      </c>
      <c r="C4222" s="19">
        <v>-52.603775392930118</v>
      </c>
      <c r="D4222" s="5">
        <v>65814.662490527655</v>
      </c>
      <c r="E4222" s="6">
        <v>72.468339133996921</v>
      </c>
    </row>
    <row r="4223" spans="1:5" x14ac:dyDescent="0.3">
      <c r="A4223" s="4">
        <v>4220</v>
      </c>
      <c r="B4223" s="5">
        <v>35775.22366937076</v>
      </c>
      <c r="C4223" s="19">
        <v>-55.566264117302289</v>
      </c>
      <c r="D4223" s="5">
        <v>64690.422135644098</v>
      </c>
      <c r="E4223" s="6">
        <v>80.824647620664109</v>
      </c>
    </row>
    <row r="4224" spans="1:5" x14ac:dyDescent="0.3">
      <c r="A4224" s="4">
        <v>4221</v>
      </c>
      <c r="B4224" s="5">
        <v>82183.84194453535</v>
      </c>
      <c r="C4224" s="19">
        <v>2.0744177740898229</v>
      </c>
      <c r="D4224" s="5">
        <v>148218.94758619575</v>
      </c>
      <c r="E4224" s="6">
        <v>80.350472890068232</v>
      </c>
    </row>
    <row r="4225" spans="1:5" x14ac:dyDescent="0.3">
      <c r="A4225" s="4">
        <v>4222</v>
      </c>
      <c r="B4225" s="5">
        <v>47598.160896391484</v>
      </c>
      <c r="C4225" s="19">
        <v>-40.881875978789409</v>
      </c>
      <c r="D4225" s="5">
        <v>97733.93122676351</v>
      </c>
      <c r="E4225" s="6">
        <v>105.3313182404342</v>
      </c>
    </row>
    <row r="4226" spans="1:5" x14ac:dyDescent="0.3">
      <c r="A4226" s="4">
        <v>4223</v>
      </c>
      <c r="B4226" s="5">
        <v>148254.78631357162</v>
      </c>
      <c r="C4226" s="19">
        <v>84.136207764452948</v>
      </c>
      <c r="D4226" s="5">
        <v>248645.09655799513</v>
      </c>
      <c r="E4226" s="6">
        <v>67.714717845324316</v>
      </c>
    </row>
    <row r="4227" spans="1:5" x14ac:dyDescent="0.3">
      <c r="A4227" s="4">
        <v>4224</v>
      </c>
      <c r="B4227" s="5">
        <v>64108.216909657269</v>
      </c>
      <c r="C4227" s="19">
        <v>-20.375967334252337</v>
      </c>
      <c r="D4227" s="5">
        <v>130169.94707352496</v>
      </c>
      <c r="E4227" s="6">
        <v>103.04721196186655</v>
      </c>
    </row>
    <row r="4228" spans="1:5" x14ac:dyDescent="0.3">
      <c r="A4228" s="4">
        <v>4225</v>
      </c>
      <c r="B4228" s="5">
        <v>51478.304009866901</v>
      </c>
      <c r="C4228" s="19">
        <v>-36.062639741872609</v>
      </c>
      <c r="D4228" s="5">
        <v>94781.868626684693</v>
      </c>
      <c r="E4228" s="6">
        <v>84.120029689629533</v>
      </c>
    </row>
    <row r="4229" spans="1:5" x14ac:dyDescent="0.3">
      <c r="A4229" s="4">
        <v>4226</v>
      </c>
      <c r="B4229" s="5">
        <v>91051.405859249935</v>
      </c>
      <c r="C4229" s="19">
        <v>13.088157242243344</v>
      </c>
      <c r="D4229" s="5">
        <v>154812.67861109972</v>
      </c>
      <c r="E4229" s="6">
        <v>70.027774036146042</v>
      </c>
    </row>
    <row r="4230" spans="1:5" x14ac:dyDescent="0.3">
      <c r="A4230" s="4">
        <v>4227</v>
      </c>
      <c r="B4230" s="5">
        <v>54676.477596418612</v>
      </c>
      <c r="C4230" s="19">
        <v>-32.090426967881633</v>
      </c>
      <c r="D4230" s="5">
        <v>90126.366556380061</v>
      </c>
      <c r="E4230" s="6">
        <v>64.835721901521083</v>
      </c>
    </row>
    <row r="4231" spans="1:5" x14ac:dyDescent="0.3">
      <c r="A4231" s="4">
        <v>4228</v>
      </c>
      <c r="B4231" s="5">
        <v>39949.806009959284</v>
      </c>
      <c r="C4231" s="19">
        <v>-50.381326886536762</v>
      </c>
      <c r="D4231" s="5">
        <v>78793.946442030458</v>
      </c>
      <c r="E4231" s="6">
        <v>97.232363086788283</v>
      </c>
    </row>
    <row r="4232" spans="1:5" x14ac:dyDescent="0.3">
      <c r="A4232" s="4">
        <v>4229</v>
      </c>
      <c r="B4232" s="5">
        <v>73734.036341066225</v>
      </c>
      <c r="C4232" s="19">
        <v>-8.4204552675044972</v>
      </c>
      <c r="D4232" s="5">
        <v>127758.1885628937</v>
      </c>
      <c r="E4232" s="6">
        <v>73.268947290409884</v>
      </c>
    </row>
    <row r="4233" spans="1:5" x14ac:dyDescent="0.3">
      <c r="A4233" s="4">
        <v>4230</v>
      </c>
      <c r="B4233" s="5">
        <v>38517.833783721399</v>
      </c>
      <c r="C4233" s="19">
        <v>-52.159872739388788</v>
      </c>
      <c r="D4233" s="5">
        <v>78073.676350855851</v>
      </c>
      <c r="E4233" s="6">
        <v>102.6948784016295</v>
      </c>
    </row>
    <row r="4234" spans="1:5" x14ac:dyDescent="0.3">
      <c r="A4234" s="4">
        <v>4231</v>
      </c>
      <c r="B4234" s="5">
        <v>45066.846268800691</v>
      </c>
      <c r="C4234" s="19">
        <v>-44.025832998817087</v>
      </c>
      <c r="D4234" s="5">
        <v>86068.546371594508</v>
      </c>
      <c r="E4234" s="6">
        <v>90.979741200969883</v>
      </c>
    </row>
    <row r="4235" spans="1:5" x14ac:dyDescent="0.3">
      <c r="A4235" s="4">
        <v>4232</v>
      </c>
      <c r="B4235" s="5">
        <v>84125.280495704996</v>
      </c>
      <c r="C4235" s="19">
        <v>4.4857337343312143</v>
      </c>
      <c r="D4235" s="5">
        <v>118874.65708612392</v>
      </c>
      <c r="E4235" s="6">
        <v>41.306699229600838</v>
      </c>
    </row>
    <row r="4236" spans="1:5" x14ac:dyDescent="0.3">
      <c r="A4236" s="4">
        <v>4233</v>
      </c>
      <c r="B4236" s="5">
        <v>62540.990485212562</v>
      </c>
      <c r="C4236" s="19">
        <v>-22.322502334445268</v>
      </c>
      <c r="D4236" s="5">
        <v>121000.82877255423</v>
      </c>
      <c r="E4236" s="6">
        <v>93.474436259790522</v>
      </c>
    </row>
    <row r="4237" spans="1:5" x14ac:dyDescent="0.3">
      <c r="A4237" s="4">
        <v>4234</v>
      </c>
      <c r="B4237" s="5">
        <v>56924.048729303468</v>
      </c>
      <c r="C4237" s="19">
        <v>-29.298886570562356</v>
      </c>
      <c r="D4237" s="5">
        <v>101948.51371075325</v>
      </c>
      <c r="E4237" s="6">
        <v>79.095682732546052</v>
      </c>
    </row>
    <row r="4238" spans="1:5" x14ac:dyDescent="0.3">
      <c r="A4238" s="4">
        <v>4235</v>
      </c>
      <c r="B4238" s="5">
        <v>120428.17148719326</v>
      </c>
      <c r="C4238" s="19">
        <v>49.574845824920352</v>
      </c>
      <c r="D4238" s="5">
        <v>262328.70284740371</v>
      </c>
      <c r="E4238" s="6">
        <v>117.83001403064617</v>
      </c>
    </row>
    <row r="4239" spans="1:5" x14ac:dyDescent="0.3">
      <c r="A4239" s="4">
        <v>4236</v>
      </c>
      <c r="B4239" s="5">
        <v>40496.691167059682</v>
      </c>
      <c r="C4239" s="19">
        <v>-49.702081639788759</v>
      </c>
      <c r="D4239" s="5">
        <v>72812.826636639176</v>
      </c>
      <c r="E4239" s="6">
        <v>79.79944666656047</v>
      </c>
    </row>
    <row r="4240" spans="1:5" x14ac:dyDescent="0.3">
      <c r="A4240" s="4">
        <v>4237</v>
      </c>
      <c r="B4240" s="5">
        <v>90999.614086918868</v>
      </c>
      <c r="C4240" s="19">
        <v>13.023830546373496</v>
      </c>
      <c r="D4240" s="5">
        <v>156587.1852269049</v>
      </c>
      <c r="E4240" s="6">
        <v>72.074559653999899</v>
      </c>
    </row>
    <row r="4241" spans="1:5" x14ac:dyDescent="0.3">
      <c r="A4241" s="4">
        <v>4238</v>
      </c>
      <c r="B4241" s="5">
        <v>48326.632455728031</v>
      </c>
      <c r="C4241" s="19">
        <v>-39.977095811242059</v>
      </c>
      <c r="D4241" s="5">
        <v>98314.164317926072</v>
      </c>
      <c r="E4241" s="6">
        <v>103.43682007636588</v>
      </c>
    </row>
    <row r="4242" spans="1:5" x14ac:dyDescent="0.3">
      <c r="A4242" s="4">
        <v>4239</v>
      </c>
      <c r="B4242" s="5">
        <v>87896.83930681624</v>
      </c>
      <c r="C4242" s="19">
        <v>9.1701055115077512</v>
      </c>
      <c r="D4242" s="5">
        <v>148124.94891108936</v>
      </c>
      <c r="E4242" s="6">
        <v>68.521359902417487</v>
      </c>
    </row>
    <row r="4243" spans="1:5" x14ac:dyDescent="0.3">
      <c r="A4243" s="4">
        <v>4240</v>
      </c>
      <c r="B4243" s="5">
        <v>48074.07225607385</v>
      </c>
      <c r="C4243" s="19">
        <v>-40.290781989968124</v>
      </c>
      <c r="D4243" s="5">
        <v>85313.77317832374</v>
      </c>
      <c r="E4243" s="6">
        <v>77.463171257652078</v>
      </c>
    </row>
    <row r="4244" spans="1:5" x14ac:dyDescent="0.3">
      <c r="A4244" s="4">
        <v>4241</v>
      </c>
      <c r="B4244" s="5">
        <v>109222.87520396341</v>
      </c>
      <c r="C4244" s="19">
        <v>35.657583416224789</v>
      </c>
      <c r="D4244" s="5">
        <v>192129.44738802672</v>
      </c>
      <c r="E4244" s="6">
        <v>75.905868646328074</v>
      </c>
    </row>
    <row r="4245" spans="1:5" x14ac:dyDescent="0.3">
      <c r="A4245" s="4">
        <v>4242</v>
      </c>
      <c r="B4245" s="5">
        <v>63247.741314096987</v>
      </c>
      <c r="C4245" s="19">
        <v>-21.444699865458482</v>
      </c>
      <c r="D4245" s="5">
        <v>116923.97897861489</v>
      </c>
      <c r="E4245" s="6">
        <v>84.866647486989805</v>
      </c>
    </row>
    <row r="4246" spans="1:5" x14ac:dyDescent="0.3">
      <c r="A4246" s="4">
        <v>4243</v>
      </c>
      <c r="B4246" s="5">
        <v>38176.170550376199</v>
      </c>
      <c r="C4246" s="19">
        <v>-52.584227147668472</v>
      </c>
      <c r="D4246" s="5">
        <v>71594.191584998625</v>
      </c>
      <c r="E4246" s="6">
        <v>87.536336287383648</v>
      </c>
    </row>
    <row r="4247" spans="1:5" x14ac:dyDescent="0.3">
      <c r="A4247" s="4">
        <v>4244</v>
      </c>
      <c r="B4247" s="5">
        <v>75636.278388514911</v>
      </c>
      <c r="C4247" s="19">
        <v>-6.0578223598125005</v>
      </c>
      <c r="D4247" s="5">
        <v>133368.79314092814</v>
      </c>
      <c r="E4247" s="6">
        <v>76.329131975350734</v>
      </c>
    </row>
    <row r="4248" spans="1:5" x14ac:dyDescent="0.3">
      <c r="A4248" s="4">
        <v>4245</v>
      </c>
      <c r="B4248" s="5">
        <v>144344.72825906076</v>
      </c>
      <c r="C4248" s="19">
        <v>79.279816411436812</v>
      </c>
      <c r="D4248" s="5">
        <v>265992.77893281117</v>
      </c>
      <c r="E4248" s="6">
        <v>84.276060609171807</v>
      </c>
    </row>
    <row r="4249" spans="1:5" x14ac:dyDescent="0.3">
      <c r="A4249" s="4">
        <v>4246</v>
      </c>
      <c r="B4249" s="5">
        <v>116943.87290292334</v>
      </c>
      <c r="C4249" s="19">
        <v>45.247258541029844</v>
      </c>
      <c r="D4249" s="5">
        <v>223969.2502312304</v>
      </c>
      <c r="E4249" s="6">
        <v>91.518584660822938</v>
      </c>
    </row>
    <row r="4250" spans="1:5" x14ac:dyDescent="0.3">
      <c r="A4250" s="4">
        <v>4247</v>
      </c>
      <c r="B4250" s="5">
        <v>98619.292334478974</v>
      </c>
      <c r="C4250" s="19">
        <v>22.487664340740317</v>
      </c>
      <c r="D4250" s="5">
        <v>176040.55377806548</v>
      </c>
      <c r="E4250" s="6">
        <v>78.505188600424304</v>
      </c>
    </row>
    <row r="4251" spans="1:5" x14ac:dyDescent="0.3">
      <c r="A4251" s="4">
        <v>4248</v>
      </c>
      <c r="B4251" s="5">
        <v>123172.05328552172</v>
      </c>
      <c r="C4251" s="19">
        <v>52.982816666613552</v>
      </c>
      <c r="D4251" s="5">
        <v>212673.72656415886</v>
      </c>
      <c r="E4251" s="6">
        <v>72.66394518175791</v>
      </c>
    </row>
    <row r="4252" spans="1:5" x14ac:dyDescent="0.3">
      <c r="A4252" s="4">
        <v>4249</v>
      </c>
      <c r="B4252" s="5">
        <v>69817.56149009979</v>
      </c>
      <c r="C4252" s="19">
        <v>-13.284816444596515</v>
      </c>
      <c r="D4252" s="5">
        <v>111526.78262527227</v>
      </c>
      <c r="E4252" s="6">
        <v>59.740300642105495</v>
      </c>
    </row>
    <row r="4253" spans="1:5" x14ac:dyDescent="0.3">
      <c r="A4253" s="4">
        <v>4250</v>
      </c>
      <c r="B4253" s="5">
        <v>102444.45002745057</v>
      </c>
      <c r="C4253" s="19">
        <v>27.23860728969208</v>
      </c>
      <c r="D4253" s="5">
        <v>171676.84354282945</v>
      </c>
      <c r="E4253" s="6">
        <v>67.580423826598377</v>
      </c>
    </row>
    <row r="4254" spans="1:5" x14ac:dyDescent="0.3">
      <c r="A4254" s="4">
        <v>4251</v>
      </c>
      <c r="B4254" s="5">
        <v>33268.930131865673</v>
      </c>
      <c r="C4254" s="19">
        <v>-58.67914430833121</v>
      </c>
      <c r="D4254" s="5">
        <v>68863.150455050636</v>
      </c>
      <c r="E4254" s="6">
        <v>106.98937471719923</v>
      </c>
    </row>
    <row r="4255" spans="1:5" x14ac:dyDescent="0.3">
      <c r="A4255" s="4">
        <v>4252</v>
      </c>
      <c r="B4255" s="5">
        <v>132226.04629808938</v>
      </c>
      <c r="C4255" s="19">
        <v>64.228105806445171</v>
      </c>
      <c r="D4255" s="5">
        <v>204944.27663905287</v>
      </c>
      <c r="E4255" s="6">
        <v>54.99539037643769</v>
      </c>
    </row>
    <row r="4256" spans="1:5" x14ac:dyDescent="0.3">
      <c r="A4256" s="4">
        <v>4253</v>
      </c>
      <c r="B4256" s="5">
        <v>49809.321096920066</v>
      </c>
      <c r="C4256" s="19">
        <v>-38.1355588836782</v>
      </c>
      <c r="D4256" s="5">
        <v>96355.108531733422</v>
      </c>
      <c r="E4256" s="6">
        <v>93.447945906035429</v>
      </c>
    </row>
    <row r="4257" spans="1:5" x14ac:dyDescent="0.3">
      <c r="A4257" s="4">
        <v>4254</v>
      </c>
      <c r="B4257" s="5">
        <v>77333.989640560976</v>
      </c>
      <c r="C4257" s="19">
        <v>-3.949221891631955</v>
      </c>
      <c r="D4257" s="5">
        <v>155207.2498899877</v>
      </c>
      <c r="E4257" s="6">
        <v>100.69732676585316</v>
      </c>
    </row>
    <row r="4258" spans="1:5" x14ac:dyDescent="0.3">
      <c r="A4258" s="4">
        <v>4255</v>
      </c>
      <c r="B4258" s="5">
        <v>52109.00836553899</v>
      </c>
      <c r="C4258" s="19">
        <v>-35.279288922909203</v>
      </c>
      <c r="D4258" s="5">
        <v>103119.24899298097</v>
      </c>
      <c r="E4258" s="6">
        <v>97.891405396953104</v>
      </c>
    </row>
    <row r="4259" spans="1:5" x14ac:dyDescent="0.3">
      <c r="A4259" s="4">
        <v>4256</v>
      </c>
      <c r="B4259" s="5">
        <v>52082.514938120621</v>
      </c>
      <c r="C4259" s="19">
        <v>-35.312194432247587</v>
      </c>
      <c r="D4259" s="5">
        <v>102872.31257150284</v>
      </c>
      <c r="E4259" s="6">
        <v>97.51794377388596</v>
      </c>
    </row>
    <row r="4260" spans="1:5" x14ac:dyDescent="0.3">
      <c r="A4260" s="4">
        <v>4257</v>
      </c>
      <c r="B4260" s="5">
        <v>109225.4318943401</v>
      </c>
      <c r="C4260" s="19">
        <v>35.660758890569305</v>
      </c>
      <c r="D4260" s="5">
        <v>224187.73060754369</v>
      </c>
      <c r="E4260" s="6">
        <v>105.25231781588475</v>
      </c>
    </row>
    <row r="4261" spans="1:5" x14ac:dyDescent="0.3">
      <c r="A4261" s="4">
        <v>4258</v>
      </c>
      <c r="B4261" s="5">
        <v>42212.656712215459</v>
      </c>
      <c r="C4261" s="19">
        <v>-47.570808876215786</v>
      </c>
      <c r="D4261" s="5">
        <v>74468.452505546797</v>
      </c>
      <c r="E4261" s="6">
        <v>76.412617223395912</v>
      </c>
    </row>
    <row r="4262" spans="1:5" x14ac:dyDescent="0.3">
      <c r="A4262" s="4">
        <v>4259</v>
      </c>
      <c r="B4262" s="5">
        <v>70860.846384959295</v>
      </c>
      <c r="C4262" s="19">
        <v>-11.989030123397793</v>
      </c>
      <c r="D4262" s="5">
        <v>135241.57608440582</v>
      </c>
      <c r="E4262" s="6">
        <v>90.855152011156022</v>
      </c>
    </row>
    <row r="4263" spans="1:5" x14ac:dyDescent="0.3">
      <c r="A4263" s="4">
        <v>4260</v>
      </c>
      <c r="B4263" s="5">
        <v>82609.304684893112</v>
      </c>
      <c r="C4263" s="19">
        <v>2.6028532971686382</v>
      </c>
      <c r="D4263" s="5">
        <v>132174.89187143804</v>
      </c>
      <c r="E4263" s="6">
        <v>60.000005296750871</v>
      </c>
    </row>
    <row r="4264" spans="1:5" x14ac:dyDescent="0.3">
      <c r="A4264" s="4">
        <v>4261</v>
      </c>
      <c r="B4264" s="5">
        <v>30176.299870670442</v>
      </c>
      <c r="C4264" s="19">
        <v>-62.520269593214842</v>
      </c>
      <c r="D4264" s="5">
        <v>63352.188467232147</v>
      </c>
      <c r="E4264" s="6">
        <v>109.94021380602294</v>
      </c>
    </row>
    <row r="4265" spans="1:5" x14ac:dyDescent="0.3">
      <c r="A4265" s="4">
        <v>4262</v>
      </c>
      <c r="B4265" s="5">
        <v>80916.220782366552</v>
      </c>
      <c r="C4265" s="19">
        <v>0.50000011454769899</v>
      </c>
      <c r="D4265" s="5">
        <v>137807.60346416876</v>
      </c>
      <c r="E4265" s="6">
        <v>70.308996307202847</v>
      </c>
    </row>
    <row r="4266" spans="1:5" x14ac:dyDescent="0.3">
      <c r="A4266" s="4">
        <v>4263</v>
      </c>
      <c r="B4266" s="5">
        <v>67638.071201303959</v>
      </c>
      <c r="C4266" s="19">
        <v>-15.991798705455759</v>
      </c>
      <c r="D4266" s="5">
        <v>124693.44700765563</v>
      </c>
      <c r="E4266" s="6">
        <v>84.353936759290278</v>
      </c>
    </row>
    <row r="4267" spans="1:5" x14ac:dyDescent="0.3">
      <c r="A4267" s="4">
        <v>4264</v>
      </c>
      <c r="B4267" s="5">
        <v>82061.520661933508</v>
      </c>
      <c r="C4267" s="19">
        <v>1.9224916362075184</v>
      </c>
      <c r="D4267" s="5">
        <v>147610.08765358894</v>
      </c>
      <c r="E4267" s="6">
        <v>79.877348680502749</v>
      </c>
    </row>
    <row r="4268" spans="1:5" x14ac:dyDescent="0.3">
      <c r="A4268" s="4">
        <v>4265</v>
      </c>
      <c r="B4268" s="5">
        <v>93073.829685877543</v>
      </c>
      <c r="C4268" s="19">
        <v>15.600058970259195</v>
      </c>
      <c r="D4268" s="5">
        <v>177089.89999773976</v>
      </c>
      <c r="E4268" s="6">
        <v>90.268199552349898</v>
      </c>
    </row>
    <row r="4269" spans="1:5" x14ac:dyDescent="0.3">
      <c r="A4269" s="4">
        <v>4266</v>
      </c>
      <c r="B4269" s="5">
        <v>34953.981536654581</v>
      </c>
      <c r="C4269" s="19">
        <v>-56.586267691789956</v>
      </c>
      <c r="D4269" s="5">
        <v>76641.126679034714</v>
      </c>
      <c r="E4269" s="6">
        <v>119.26293746726621</v>
      </c>
    </row>
    <row r="4270" spans="1:5" x14ac:dyDescent="0.3">
      <c r="A4270" s="4">
        <v>4267</v>
      </c>
      <c r="B4270" s="5">
        <v>70772.30790516689</v>
      </c>
      <c r="C4270" s="19">
        <v>-12.098997162679213</v>
      </c>
      <c r="D4270" s="5">
        <v>160751.23390569972</v>
      </c>
      <c r="E4270" s="6">
        <v>127.13860641806724</v>
      </c>
    </row>
    <row r="4271" spans="1:5" x14ac:dyDescent="0.3">
      <c r="A4271" s="4">
        <v>4268</v>
      </c>
      <c r="B4271" s="5">
        <v>112315.23676348035</v>
      </c>
      <c r="C4271" s="19">
        <v>39.498374966803503</v>
      </c>
      <c r="D4271" s="5">
        <v>194136.75750172144</v>
      </c>
      <c r="E4271" s="6">
        <v>72.849884927496873</v>
      </c>
    </row>
    <row r="4272" spans="1:5" x14ac:dyDescent="0.3">
      <c r="A4272" s="4">
        <v>4269</v>
      </c>
      <c r="B4272" s="5">
        <v>80212.385124766821</v>
      </c>
      <c r="C4272" s="19">
        <v>-0.37418163770747542</v>
      </c>
      <c r="D4272" s="5">
        <v>162397.54719850433</v>
      </c>
      <c r="E4272" s="6">
        <v>102.45944182547635</v>
      </c>
    </row>
    <row r="4273" spans="1:5" x14ac:dyDescent="0.3">
      <c r="A4273" s="4">
        <v>4270</v>
      </c>
      <c r="B4273" s="5">
        <v>98800.449525500546</v>
      </c>
      <c r="C4273" s="19">
        <v>22.712666170316449</v>
      </c>
      <c r="D4273" s="5">
        <v>178421.27168165773</v>
      </c>
      <c r="E4273" s="6">
        <v>80.587510014928554</v>
      </c>
    </row>
    <row r="4274" spans="1:5" x14ac:dyDescent="0.3">
      <c r="A4274" s="4">
        <v>4271</v>
      </c>
      <c r="B4274" s="5">
        <v>51809.794115436365</v>
      </c>
      <c r="C4274" s="19">
        <v>-35.650920616515698</v>
      </c>
      <c r="D4274" s="5">
        <v>96511.338413642879</v>
      </c>
      <c r="E4274" s="6">
        <v>86.280104102726014</v>
      </c>
    </row>
    <row r="4275" spans="1:5" x14ac:dyDescent="0.3">
      <c r="A4275" s="4">
        <v>4272</v>
      </c>
      <c r="B4275" s="5">
        <v>61110.0020326718</v>
      </c>
      <c r="C4275" s="19">
        <v>-24.099826315394257</v>
      </c>
      <c r="D4275" s="5">
        <v>110641.51781695809</v>
      </c>
      <c r="E4275" s="6">
        <v>81.053042279077005</v>
      </c>
    </row>
    <row r="4276" spans="1:5" x14ac:dyDescent="0.3">
      <c r="A4276" s="4">
        <v>4273</v>
      </c>
      <c r="B4276" s="5">
        <v>77762.691306901252</v>
      </c>
      <c r="C4276" s="19">
        <v>-3.416763540268942</v>
      </c>
      <c r="D4276" s="5">
        <v>155294.14114144706</v>
      </c>
      <c r="E4276" s="6">
        <v>99.702631855367756</v>
      </c>
    </row>
    <row r="4277" spans="1:5" x14ac:dyDescent="0.3">
      <c r="A4277" s="4">
        <v>4274</v>
      </c>
      <c r="B4277" s="5">
        <v>97160.15504142482</v>
      </c>
      <c r="C4277" s="19">
        <v>20.675378785369443</v>
      </c>
      <c r="D4277" s="5">
        <v>178924.19713095928</v>
      </c>
      <c r="E4277" s="6">
        <v>84.153881861009651</v>
      </c>
    </row>
    <row r="4278" spans="1:5" x14ac:dyDescent="0.3">
      <c r="A4278" s="4">
        <v>4275</v>
      </c>
      <c r="B4278" s="5">
        <v>46522.028382694814</v>
      </c>
      <c r="C4278" s="19">
        <v>-42.218459876357599</v>
      </c>
      <c r="D4278" s="5">
        <v>82880.729360004247</v>
      </c>
      <c r="E4278" s="6">
        <v>78.153731127583598</v>
      </c>
    </row>
    <row r="4279" spans="1:5" x14ac:dyDescent="0.3">
      <c r="A4279" s="4">
        <v>4276</v>
      </c>
      <c r="B4279" s="5">
        <v>35482.846966659177</v>
      </c>
      <c r="C4279" s="19">
        <v>-55.929403403491108</v>
      </c>
      <c r="D4279" s="5">
        <v>72997.472607242496</v>
      </c>
      <c r="E4279" s="6">
        <v>105.72608696205596</v>
      </c>
    </row>
    <row r="4280" spans="1:5" x14ac:dyDescent="0.3">
      <c r="A4280" s="4">
        <v>4277</v>
      </c>
      <c r="B4280" s="5">
        <v>77299.14339059926</v>
      </c>
      <c r="C4280" s="19">
        <v>-3.9925018185895325</v>
      </c>
      <c r="D4280" s="5">
        <v>138173.62399565626</v>
      </c>
      <c r="E4280" s="6">
        <v>78.751817853210852</v>
      </c>
    </row>
    <row r="4281" spans="1:5" x14ac:dyDescent="0.3">
      <c r="A4281" s="4">
        <v>4278</v>
      </c>
      <c r="B4281" s="5">
        <v>78881.079006902539</v>
      </c>
      <c r="C4281" s="19">
        <v>-2.0276976287436703</v>
      </c>
      <c r="D4281" s="5">
        <v>147970.8044790698</v>
      </c>
      <c r="E4281" s="6">
        <v>87.587196247811889</v>
      </c>
    </row>
    <row r="4282" spans="1:5" x14ac:dyDescent="0.3">
      <c r="A4282" s="4">
        <v>4279</v>
      </c>
      <c r="B4282" s="5">
        <v>108449.06224337182</v>
      </c>
      <c r="C4282" s="19">
        <v>34.696488077414287</v>
      </c>
      <c r="D4282" s="5">
        <v>183809.78972180374</v>
      </c>
      <c r="E4282" s="6">
        <v>69.489515095403974</v>
      </c>
    </row>
    <row r="4283" spans="1:5" x14ac:dyDescent="0.3">
      <c r="A4283" s="4">
        <v>4280</v>
      </c>
      <c r="B4283" s="5">
        <v>78750.977933976799</v>
      </c>
      <c r="C4283" s="19">
        <v>-2.1892864636832896</v>
      </c>
      <c r="D4283" s="5">
        <v>153020.30109390663</v>
      </c>
      <c r="E4283" s="6">
        <v>94.309080481763303</v>
      </c>
    </row>
    <row r="4284" spans="1:5" x14ac:dyDescent="0.3">
      <c r="A4284" s="4">
        <v>4281</v>
      </c>
      <c r="B4284" s="5">
        <v>128245.30912796962</v>
      </c>
      <c r="C4284" s="19">
        <v>59.283929197789185</v>
      </c>
      <c r="D4284" s="5">
        <v>286195.73036510189</v>
      </c>
      <c r="E4284" s="6">
        <v>123.1627279868158</v>
      </c>
    </row>
    <row r="4285" spans="1:5" x14ac:dyDescent="0.3">
      <c r="A4285" s="4">
        <v>4282</v>
      </c>
      <c r="B4285" s="5">
        <v>97411.703228118364</v>
      </c>
      <c r="C4285" s="19">
        <v>20.987808018310396</v>
      </c>
      <c r="D4285" s="5">
        <v>153500.77788304869</v>
      </c>
      <c r="E4285" s="6">
        <v>57.579400417197455</v>
      </c>
    </row>
    <row r="4286" spans="1:5" x14ac:dyDescent="0.3">
      <c r="A4286" s="4">
        <v>4283</v>
      </c>
      <c r="B4286" s="5">
        <v>31623.907326219905</v>
      </c>
      <c r="C4286" s="19">
        <v>-60.722304388687562</v>
      </c>
      <c r="D4286" s="5">
        <v>66546.717626341226</v>
      </c>
      <c r="E4286" s="6">
        <v>110.43167417571527</v>
      </c>
    </row>
    <row r="4287" spans="1:5" x14ac:dyDescent="0.3">
      <c r="A4287" s="4">
        <v>4284</v>
      </c>
      <c r="B4287" s="5">
        <v>178885.23929795626</v>
      </c>
      <c r="C4287" s="19">
        <v>122.18000786627563</v>
      </c>
      <c r="D4287" s="5">
        <v>284500.31163035159</v>
      </c>
      <c r="E4287" s="6">
        <v>59.040685943058669</v>
      </c>
    </row>
    <row r="4288" spans="1:5" x14ac:dyDescent="0.3">
      <c r="A4288" s="4">
        <v>4285</v>
      </c>
      <c r="B4288" s="5">
        <v>91279.754279101529</v>
      </c>
      <c r="C4288" s="19">
        <v>13.371771775885074</v>
      </c>
      <c r="D4288" s="5">
        <v>181525.8082710788</v>
      </c>
      <c r="E4288" s="6">
        <v>98.867547031334496</v>
      </c>
    </row>
    <row r="4289" spans="1:5" x14ac:dyDescent="0.3">
      <c r="A4289" s="4">
        <v>4286</v>
      </c>
      <c r="B4289" s="5">
        <v>234679.51218367135</v>
      </c>
      <c r="C4289" s="19">
        <v>191.47791102078671</v>
      </c>
      <c r="D4289" s="5">
        <v>343424.82151960058</v>
      </c>
      <c r="E4289" s="6">
        <v>46.337794178990784</v>
      </c>
    </row>
    <row r="4290" spans="1:5" x14ac:dyDescent="0.3">
      <c r="A4290" s="4">
        <v>4287</v>
      </c>
      <c r="B4290" s="5">
        <v>85265.218552713894</v>
      </c>
      <c r="C4290" s="19">
        <v>5.9015657362743594</v>
      </c>
      <c r="D4290" s="5">
        <v>132640.61177761291</v>
      </c>
      <c r="E4290" s="6">
        <v>55.562389951079425</v>
      </c>
    </row>
    <row r="4291" spans="1:5" x14ac:dyDescent="0.3">
      <c r="A4291" s="4">
        <v>4288</v>
      </c>
      <c r="B4291" s="5">
        <v>61379.952000077421</v>
      </c>
      <c r="C4291" s="19">
        <v>-23.764541603715049</v>
      </c>
      <c r="D4291" s="5">
        <v>113652.44836742585</v>
      </c>
      <c r="E4291" s="6">
        <v>85.162165599742565</v>
      </c>
    </row>
    <row r="4292" spans="1:5" x14ac:dyDescent="0.3">
      <c r="A4292" s="4">
        <v>4289</v>
      </c>
      <c r="B4292" s="5">
        <v>83883.338695975312</v>
      </c>
      <c r="C4292" s="19">
        <v>4.1852358778390597</v>
      </c>
      <c r="D4292" s="5">
        <v>153052.99116754599</v>
      </c>
      <c r="E4292" s="6">
        <v>82.459345976043522</v>
      </c>
    </row>
    <row r="4293" spans="1:5" x14ac:dyDescent="0.3">
      <c r="A4293" s="4">
        <v>4290</v>
      </c>
      <c r="B4293" s="5">
        <v>99011.850486798707</v>
      </c>
      <c r="C4293" s="19">
        <v>22.975231530256131</v>
      </c>
      <c r="D4293" s="5">
        <v>186291.6338512318</v>
      </c>
      <c r="E4293" s="6">
        <v>88.150845515275108</v>
      </c>
    </row>
    <row r="4294" spans="1:5" x14ac:dyDescent="0.3">
      <c r="A4294" s="4">
        <v>4291</v>
      </c>
      <c r="B4294" s="5">
        <v>86695.464398336771</v>
      </c>
      <c r="C4294" s="19">
        <v>7.677967380581685</v>
      </c>
      <c r="D4294" s="5">
        <v>160398.86745191438</v>
      </c>
      <c r="E4294" s="6">
        <v>85.014139511307107</v>
      </c>
    </row>
    <row r="4295" spans="1:5" x14ac:dyDescent="0.3">
      <c r="A4295" s="4">
        <v>4292</v>
      </c>
      <c r="B4295" s="5">
        <v>76762.993985360416</v>
      </c>
      <c r="C4295" s="19">
        <v>-4.6584129890190447</v>
      </c>
      <c r="D4295" s="5">
        <v>138505.11213718011</v>
      </c>
      <c r="E4295" s="6">
        <v>80.432139167988453</v>
      </c>
    </row>
    <row r="4296" spans="1:5" x14ac:dyDescent="0.3">
      <c r="A4296" s="4">
        <v>4293</v>
      </c>
      <c r="B4296" s="5">
        <v>33969.491601252223</v>
      </c>
      <c r="C4296" s="19">
        <v>-57.809029180945778</v>
      </c>
      <c r="D4296" s="5">
        <v>65354.019524093441</v>
      </c>
      <c r="E4296" s="6">
        <v>92.390337457050094</v>
      </c>
    </row>
    <row r="4297" spans="1:5" x14ac:dyDescent="0.3">
      <c r="A4297" s="4">
        <v>4294</v>
      </c>
      <c r="B4297" s="5">
        <v>51493.343077619073</v>
      </c>
      <c r="C4297" s="19">
        <v>-36.04396083798656</v>
      </c>
      <c r="D4297" s="5">
        <v>116632.7158710457</v>
      </c>
      <c r="E4297" s="6">
        <v>126.5005705596509</v>
      </c>
    </row>
    <row r="4298" spans="1:5" x14ac:dyDescent="0.3">
      <c r="A4298" s="4">
        <v>4295</v>
      </c>
      <c r="B4298" s="5">
        <v>56143.126704101189</v>
      </c>
      <c r="C4298" s="19">
        <v>-30.268811548069273</v>
      </c>
      <c r="D4298" s="5">
        <v>119531.38852033125</v>
      </c>
      <c r="E4298" s="6">
        <v>112.90475885020423</v>
      </c>
    </row>
    <row r="4299" spans="1:5" x14ac:dyDescent="0.3">
      <c r="A4299" s="4">
        <v>4296</v>
      </c>
      <c r="B4299" s="5">
        <v>49055.122096133549</v>
      </c>
      <c r="C4299" s="19">
        <v>-39.072293186548094</v>
      </c>
      <c r="D4299" s="5">
        <v>102743.24999082145</v>
      </c>
      <c r="E4299" s="6">
        <v>109.44448938374882</v>
      </c>
    </row>
    <row r="4300" spans="1:5" x14ac:dyDescent="0.3">
      <c r="A4300" s="4">
        <v>4297</v>
      </c>
      <c r="B4300" s="5">
        <v>60296.823385731092</v>
      </c>
      <c r="C4300" s="19">
        <v>-25.109814835872697</v>
      </c>
      <c r="D4300" s="5">
        <v>114550.61406760379</v>
      </c>
      <c r="E4300" s="6">
        <v>89.977858924341874</v>
      </c>
    </row>
    <row r="4301" spans="1:5" x14ac:dyDescent="0.3">
      <c r="A4301" s="4">
        <v>4298</v>
      </c>
      <c r="B4301" s="5">
        <v>61684.667815266585</v>
      </c>
      <c r="C4301" s="19">
        <v>-23.386076826624407</v>
      </c>
      <c r="D4301" s="5">
        <v>119378.36611655368</v>
      </c>
      <c r="E4301" s="6">
        <v>93.530046192464454</v>
      </c>
    </row>
    <row r="4302" spans="1:5" x14ac:dyDescent="0.3">
      <c r="A4302" s="4">
        <v>4299</v>
      </c>
      <c r="B4302" s="5">
        <v>82917.704873474227</v>
      </c>
      <c r="C4302" s="19">
        <v>2.9858941595328261</v>
      </c>
      <c r="D4302" s="5">
        <v>158080.06512032868</v>
      </c>
      <c r="E4302" s="6">
        <v>90.646937661318773</v>
      </c>
    </row>
    <row r="4303" spans="1:5" x14ac:dyDescent="0.3">
      <c r="A4303" s="4">
        <v>4300</v>
      </c>
      <c r="B4303" s="5">
        <v>66871.913415482355</v>
      </c>
      <c r="C4303" s="19">
        <v>-16.943386122890022</v>
      </c>
      <c r="D4303" s="5">
        <v>127957.8086379679</v>
      </c>
      <c r="E4303" s="6">
        <v>91.347610831699015</v>
      </c>
    </row>
    <row r="4304" spans="1:5" x14ac:dyDescent="0.3">
      <c r="A4304" s="4">
        <v>4301</v>
      </c>
      <c r="B4304" s="5">
        <v>105622.7544934551</v>
      </c>
      <c r="C4304" s="19">
        <v>31.186142111623987</v>
      </c>
      <c r="D4304" s="5">
        <v>158927.54899899487</v>
      </c>
      <c r="E4304" s="6">
        <v>50.46715053132116</v>
      </c>
    </row>
    <row r="4305" spans="1:5" x14ac:dyDescent="0.3">
      <c r="A4305" s="4">
        <v>4302</v>
      </c>
      <c r="B4305" s="5">
        <v>53412.74039191375</v>
      </c>
      <c r="C4305" s="19">
        <v>-33.660020653418343</v>
      </c>
      <c r="D4305" s="5">
        <v>104862.22064887061</v>
      </c>
      <c r="E4305" s="6">
        <v>96.324359842705036</v>
      </c>
    </row>
    <row r="4306" spans="1:5" x14ac:dyDescent="0.3">
      <c r="A4306" s="4">
        <v>4303</v>
      </c>
      <c r="B4306" s="5">
        <v>75248.022196113277</v>
      </c>
      <c r="C4306" s="19">
        <v>-6.5400464059130483</v>
      </c>
      <c r="D4306" s="5">
        <v>121952.5088819088</v>
      </c>
      <c r="E4306" s="6">
        <v>62.06739436163933</v>
      </c>
    </row>
    <row r="4307" spans="1:5" x14ac:dyDescent="0.3">
      <c r="A4307" s="4">
        <v>4304</v>
      </c>
      <c r="B4307" s="5">
        <v>44556.042899058222</v>
      </c>
      <c r="C4307" s="19">
        <v>-44.660263749799675</v>
      </c>
      <c r="D4307" s="5">
        <v>99568.03206438561</v>
      </c>
      <c r="E4307" s="6">
        <v>123.46695439259973</v>
      </c>
    </row>
    <row r="4308" spans="1:5" x14ac:dyDescent="0.3">
      <c r="A4308" s="4">
        <v>4305</v>
      </c>
      <c r="B4308" s="5">
        <v>41491.948850222703</v>
      </c>
      <c r="C4308" s="19">
        <v>-48.465946334595593</v>
      </c>
      <c r="D4308" s="5">
        <v>65797.969848912559</v>
      </c>
      <c r="E4308" s="6">
        <v>58.580090046937848</v>
      </c>
    </row>
    <row r="4309" spans="1:5" x14ac:dyDescent="0.3">
      <c r="A4309" s="4">
        <v>4306</v>
      </c>
      <c r="B4309" s="5">
        <v>57370.992057701107</v>
      </c>
      <c r="C4309" s="19">
        <v>-28.743771611894541</v>
      </c>
      <c r="D4309" s="5">
        <v>101400.5193585121</v>
      </c>
      <c r="E4309" s="6">
        <v>76.745277921162881</v>
      </c>
    </row>
    <row r="4310" spans="1:5" x14ac:dyDescent="0.3">
      <c r="A4310" s="4">
        <v>4307</v>
      </c>
      <c r="B4310" s="5">
        <v>47028.802622656382</v>
      </c>
      <c r="C4310" s="19">
        <v>-41.589033406834616</v>
      </c>
      <c r="D4310" s="5">
        <v>87516.650601576577</v>
      </c>
      <c r="E4310" s="6">
        <v>86.091598597100898</v>
      </c>
    </row>
    <row r="4311" spans="1:5" x14ac:dyDescent="0.3">
      <c r="A4311" s="4">
        <v>4308</v>
      </c>
      <c r="B4311" s="5">
        <v>43973.506276916261</v>
      </c>
      <c r="C4311" s="19">
        <v>-45.383789021073255</v>
      </c>
      <c r="D4311" s="5">
        <v>97591.772812663097</v>
      </c>
      <c r="E4311" s="6">
        <v>121.93311626799603</v>
      </c>
    </row>
    <row r="4312" spans="1:5" x14ac:dyDescent="0.3">
      <c r="A4312" s="4">
        <v>4309</v>
      </c>
      <c r="B4312" s="5">
        <v>53887.720918355531</v>
      </c>
      <c r="C4312" s="19">
        <v>-33.070082783109285</v>
      </c>
      <c r="D4312" s="5">
        <v>110063.9854917459</v>
      </c>
      <c r="E4312" s="6">
        <v>104.24687408566078</v>
      </c>
    </row>
    <row r="4313" spans="1:5" x14ac:dyDescent="0.3">
      <c r="A4313" s="4">
        <v>4310</v>
      </c>
      <c r="B4313" s="5">
        <v>64219.625976696705</v>
      </c>
      <c r="C4313" s="19">
        <v>-20.237594445084177</v>
      </c>
      <c r="D4313" s="5">
        <v>106117.12785981332</v>
      </c>
      <c r="E4313" s="6">
        <v>65.240962160570533</v>
      </c>
    </row>
    <row r="4314" spans="1:5" x14ac:dyDescent="0.3">
      <c r="A4314" s="4">
        <v>4311</v>
      </c>
      <c r="B4314" s="5">
        <v>92485.97564239637</v>
      </c>
      <c r="C4314" s="19">
        <v>14.86992932670978</v>
      </c>
      <c r="D4314" s="5">
        <v>138772.57521013194</v>
      </c>
      <c r="E4314" s="6">
        <v>50.047154983482045</v>
      </c>
    </row>
    <row r="4315" spans="1:5" x14ac:dyDescent="0.3">
      <c r="A4315" s="4">
        <v>4312</v>
      </c>
      <c r="B4315" s="5">
        <v>23555.155952239824</v>
      </c>
      <c r="C4315" s="19">
        <v>-70.743898404926782</v>
      </c>
      <c r="D4315" s="5">
        <v>49686.258301921851</v>
      </c>
      <c r="E4315" s="6">
        <v>110.93580701679566</v>
      </c>
    </row>
    <row r="4316" spans="1:5" x14ac:dyDescent="0.3">
      <c r="A4316" s="4">
        <v>4313</v>
      </c>
      <c r="B4316" s="5">
        <v>209940.74283811243</v>
      </c>
      <c r="C4316" s="19">
        <v>160.75173154745855</v>
      </c>
      <c r="D4316" s="5">
        <v>349570.51361684588</v>
      </c>
      <c r="E4316" s="6">
        <v>66.509134382935613</v>
      </c>
    </row>
    <row r="4317" spans="1:5" x14ac:dyDescent="0.3">
      <c r="A4317" s="4">
        <v>4314</v>
      </c>
      <c r="B4317" s="5">
        <v>79690.587220274392</v>
      </c>
      <c r="C4317" s="19">
        <v>-1.0222678799246578</v>
      </c>
      <c r="D4317" s="5">
        <v>151903.70047459751</v>
      </c>
      <c r="E4317" s="6">
        <v>90.616866775893328</v>
      </c>
    </row>
    <row r="4318" spans="1:5" x14ac:dyDescent="0.3">
      <c r="A4318" s="4">
        <v>4315</v>
      </c>
      <c r="B4318" s="5">
        <v>34634.64967109554</v>
      </c>
      <c r="C4318" s="19">
        <v>-56.982885974440357</v>
      </c>
      <c r="D4318" s="5">
        <v>65338.096370437343</v>
      </c>
      <c r="E4318" s="6">
        <v>88.649508486195145</v>
      </c>
    </row>
    <row r="4319" spans="1:5" x14ac:dyDescent="0.3">
      <c r="A4319" s="4">
        <v>4316</v>
      </c>
      <c r="B4319" s="5">
        <v>45193.574936590725</v>
      </c>
      <c r="C4319" s="19">
        <v>-43.86843277665804</v>
      </c>
      <c r="D4319" s="5">
        <v>89315.971415989494</v>
      </c>
      <c r="E4319" s="6">
        <v>97.629799238730541</v>
      </c>
    </row>
    <row r="4320" spans="1:5" x14ac:dyDescent="0.3">
      <c r="A4320" s="4">
        <v>4317</v>
      </c>
      <c r="B4320" s="5">
        <v>60269.754557148233</v>
      </c>
      <c r="C4320" s="19">
        <v>-25.143435008062827</v>
      </c>
      <c r="D4320" s="5">
        <v>119491.37341489919</v>
      </c>
      <c r="E4320" s="6">
        <v>98.260925887123989</v>
      </c>
    </row>
    <row r="4321" spans="1:5" x14ac:dyDescent="0.3">
      <c r="A4321" s="4">
        <v>4318</v>
      </c>
      <c r="B4321" s="5">
        <v>51684.741205715734</v>
      </c>
      <c r="C4321" s="19">
        <v>-35.806239504616642</v>
      </c>
      <c r="D4321" s="5">
        <v>91142.10023417676</v>
      </c>
      <c r="E4321" s="6">
        <v>76.342375153650764</v>
      </c>
    </row>
    <row r="4322" spans="1:5" x14ac:dyDescent="0.3">
      <c r="A4322" s="4">
        <v>4319</v>
      </c>
      <c r="B4322" s="5">
        <v>69537.421722522209</v>
      </c>
      <c r="C4322" s="19">
        <v>-13.632757146737804</v>
      </c>
      <c r="D4322" s="5">
        <v>131114.64188591298</v>
      </c>
      <c r="E4322" s="6">
        <v>88.552636318764684</v>
      </c>
    </row>
    <row r="4323" spans="1:5" x14ac:dyDescent="0.3">
      <c r="A4323" s="4">
        <v>4320</v>
      </c>
      <c r="B4323" s="5">
        <v>59005.881984321553</v>
      </c>
      <c r="C4323" s="19">
        <v>-26.713196824491298</v>
      </c>
      <c r="D4323" s="5">
        <v>108668.9409718946</v>
      </c>
      <c r="E4323" s="6">
        <v>84.166285321807422</v>
      </c>
    </row>
    <row r="4324" spans="1:5" x14ac:dyDescent="0.3">
      <c r="A4324" s="4">
        <v>4321</v>
      </c>
      <c r="B4324" s="5">
        <v>48950.374537497264</v>
      </c>
      <c r="C4324" s="19">
        <v>-39.202392313189947</v>
      </c>
      <c r="D4324" s="5">
        <v>91813.251762611748</v>
      </c>
      <c r="E4324" s="6">
        <v>87.563941297896307</v>
      </c>
    </row>
    <row r="4325" spans="1:5" x14ac:dyDescent="0.3">
      <c r="A4325" s="4">
        <v>4322</v>
      </c>
      <c r="B4325" s="5">
        <v>35309.225745559532</v>
      </c>
      <c r="C4325" s="19">
        <v>-56.145045367138088</v>
      </c>
      <c r="D4325" s="5">
        <v>66438.897906009632</v>
      </c>
      <c r="E4325" s="6">
        <v>88.162998488758845</v>
      </c>
    </row>
    <row r="4326" spans="1:5" x14ac:dyDescent="0.3">
      <c r="A4326" s="4">
        <v>4323</v>
      </c>
      <c r="B4326" s="5">
        <v>59525.147048501443</v>
      </c>
      <c r="C4326" s="19">
        <v>-26.068256434233579</v>
      </c>
      <c r="D4326" s="5">
        <v>113400.17110809368</v>
      </c>
      <c r="E4326" s="6">
        <v>90.508006667660226</v>
      </c>
    </row>
    <row r="4327" spans="1:5" x14ac:dyDescent="0.3">
      <c r="A4327" s="4">
        <v>4324</v>
      </c>
      <c r="B4327" s="5">
        <v>80601.389598231384</v>
      </c>
      <c r="C4327" s="19">
        <v>0.10897179246690887</v>
      </c>
      <c r="D4327" s="5">
        <v>155125.76699112993</v>
      </c>
      <c r="E4327" s="6">
        <v>92.460412611216086</v>
      </c>
    </row>
    <row r="4328" spans="1:5" x14ac:dyDescent="0.3">
      <c r="A4328" s="4">
        <v>4325</v>
      </c>
      <c r="B4328" s="5">
        <v>60550.025798412666</v>
      </c>
      <c r="C4328" s="19">
        <v>-24.795331012265262</v>
      </c>
      <c r="D4328" s="5">
        <v>114968.18240936825</v>
      </c>
      <c r="E4328" s="6">
        <v>89.873052725242886</v>
      </c>
    </row>
    <row r="4329" spans="1:5" x14ac:dyDescent="0.3">
      <c r="A4329" s="4">
        <v>4326</v>
      </c>
      <c r="B4329" s="5">
        <v>48550.250842457252</v>
      </c>
      <c r="C4329" s="19">
        <v>-39.699356098801125</v>
      </c>
      <c r="D4329" s="5">
        <v>97111.132534883131</v>
      </c>
      <c r="E4329" s="6">
        <v>100.02189659123107</v>
      </c>
    </row>
    <row r="4330" spans="1:5" x14ac:dyDescent="0.3">
      <c r="A4330" s="4">
        <v>4327</v>
      </c>
      <c r="B4330" s="5">
        <v>44987.780171916042</v>
      </c>
      <c r="C4330" s="19">
        <v>-44.124035098088825</v>
      </c>
      <c r="D4330" s="5">
        <v>89578.423634019084</v>
      </c>
      <c r="E4330" s="6">
        <v>99.117234261625313</v>
      </c>
    </row>
    <row r="4331" spans="1:5" x14ac:dyDescent="0.3">
      <c r="A4331" s="4">
        <v>4328</v>
      </c>
      <c r="B4331" s="5">
        <v>56209.850888862886</v>
      </c>
      <c r="C4331" s="19">
        <v>-30.185938416929975</v>
      </c>
      <c r="D4331" s="5">
        <v>105064.59897395202</v>
      </c>
      <c r="E4331" s="6">
        <v>86.914922051090059</v>
      </c>
    </row>
    <row r="4332" spans="1:5" x14ac:dyDescent="0.3">
      <c r="A4332" s="4">
        <v>4329</v>
      </c>
      <c r="B4332" s="5">
        <v>70388.501666124648</v>
      </c>
      <c r="C4332" s="19">
        <v>-12.575694253753877</v>
      </c>
      <c r="D4332" s="5">
        <v>146500.70464143087</v>
      </c>
      <c r="E4332" s="6">
        <v>108.13158566200333</v>
      </c>
    </row>
    <row r="4333" spans="1:5" x14ac:dyDescent="0.3">
      <c r="A4333" s="4">
        <v>4330</v>
      </c>
      <c r="B4333" s="5">
        <v>61589.944954472674</v>
      </c>
      <c r="C4333" s="19">
        <v>-23.503725024088332</v>
      </c>
      <c r="D4333" s="5">
        <v>96860.656222003556</v>
      </c>
      <c r="E4333" s="6">
        <v>57.266995925394994</v>
      </c>
    </row>
    <row r="4334" spans="1:5" x14ac:dyDescent="0.3">
      <c r="A4334" s="4">
        <v>4331</v>
      </c>
      <c r="B4334" s="5">
        <v>44422.454525092777</v>
      </c>
      <c r="C4334" s="19">
        <v>-44.826183901149044</v>
      </c>
      <c r="D4334" s="5">
        <v>86903.14305516782</v>
      </c>
      <c r="E4334" s="6">
        <v>95.628863790223718</v>
      </c>
    </row>
    <row r="4335" spans="1:5" x14ac:dyDescent="0.3">
      <c r="A4335" s="4">
        <v>4332</v>
      </c>
      <c r="B4335" s="5">
        <v>33311.408642688883</v>
      </c>
      <c r="C4335" s="19">
        <v>-58.626384919653376</v>
      </c>
      <c r="D4335" s="5">
        <v>70182.561275329892</v>
      </c>
      <c r="E4335" s="6">
        <v>110.68626075869479</v>
      </c>
    </row>
    <row r="4336" spans="1:5" x14ac:dyDescent="0.3">
      <c r="A4336" s="4">
        <v>4333</v>
      </c>
      <c r="B4336" s="5">
        <v>77239.742166998578</v>
      </c>
      <c r="C4336" s="19">
        <v>-4.0662796460875485</v>
      </c>
      <c r="D4336" s="5">
        <v>142879.46799427661</v>
      </c>
      <c r="E4336" s="6">
        <v>84.981803389969414</v>
      </c>
    </row>
    <row r="4337" spans="1:5" x14ac:dyDescent="0.3">
      <c r="A4337" s="4">
        <v>4334</v>
      </c>
      <c r="B4337" s="5">
        <v>24187.322429310476</v>
      </c>
      <c r="C4337" s="19">
        <v>-69.958731594073214</v>
      </c>
      <c r="D4337" s="5">
        <v>51714.00510210151</v>
      </c>
      <c r="E4337" s="6">
        <v>113.80624189899532</v>
      </c>
    </row>
    <row r="4338" spans="1:5" x14ac:dyDescent="0.3">
      <c r="A4338" s="4">
        <v>4335</v>
      </c>
      <c r="B4338" s="5">
        <v>101841.60141623775</v>
      </c>
      <c r="C4338" s="19">
        <v>26.489854012411655</v>
      </c>
      <c r="D4338" s="5">
        <v>210098.91992544013</v>
      </c>
      <c r="E4338" s="6">
        <v>106.2997016972886</v>
      </c>
    </row>
    <row r="4339" spans="1:5" x14ac:dyDescent="0.3">
      <c r="A4339" s="4">
        <v>4336</v>
      </c>
      <c r="B4339" s="5">
        <v>23268.971419133552</v>
      </c>
      <c r="C4339" s="19">
        <v>-71.099346859289454</v>
      </c>
      <c r="D4339" s="5">
        <v>45254.368063517293</v>
      </c>
      <c r="E4339" s="6">
        <v>94.483749403317603</v>
      </c>
    </row>
    <row r="4340" spans="1:5" x14ac:dyDescent="0.3">
      <c r="A4340" s="4">
        <v>4337</v>
      </c>
      <c r="B4340" s="5">
        <v>73267.450629227009</v>
      </c>
      <c r="C4340" s="19">
        <v>-8.9999665649909275</v>
      </c>
      <c r="D4340" s="5">
        <v>140637.60339156908</v>
      </c>
      <c r="E4340" s="6">
        <v>91.950998954872247</v>
      </c>
    </row>
    <row r="4341" spans="1:5" x14ac:dyDescent="0.3">
      <c r="A4341" s="4">
        <v>4338</v>
      </c>
      <c r="B4341" s="5">
        <v>58300.405581617131</v>
      </c>
      <c r="C4341" s="19">
        <v>-27.589416423813663</v>
      </c>
      <c r="D4341" s="5">
        <v>125499.45580495408</v>
      </c>
      <c r="E4341" s="6">
        <v>115.26343522475541</v>
      </c>
    </row>
    <row r="4342" spans="1:5" x14ac:dyDescent="0.3">
      <c r="A4342" s="4">
        <v>4339</v>
      </c>
      <c r="B4342" s="5">
        <v>77604.400573245759</v>
      </c>
      <c r="C4342" s="19">
        <v>-3.613364649375308</v>
      </c>
      <c r="D4342" s="5">
        <v>151320.97790439692</v>
      </c>
      <c r="E4342" s="6">
        <v>94.990202600141032</v>
      </c>
    </row>
    <row r="4343" spans="1:5" x14ac:dyDescent="0.3">
      <c r="A4343" s="4">
        <v>4340</v>
      </c>
      <c r="B4343" s="5">
        <v>57345.979488859652</v>
      </c>
      <c r="C4343" s="19">
        <v>-28.774837857291647</v>
      </c>
      <c r="D4343" s="5">
        <v>119668.82551970215</v>
      </c>
      <c r="E4343" s="6">
        <v>108.67866690279426</v>
      </c>
    </row>
    <row r="4344" spans="1:5" x14ac:dyDescent="0.3">
      <c r="A4344" s="4">
        <v>4341</v>
      </c>
      <c r="B4344" s="5">
        <v>85139.843633221331</v>
      </c>
      <c r="C4344" s="19">
        <v>5.7458469038630744</v>
      </c>
      <c r="D4344" s="5">
        <v>132347.94528080529</v>
      </c>
      <c r="E4344" s="6">
        <v>55.44771946135392</v>
      </c>
    </row>
    <row r="4345" spans="1:5" x14ac:dyDescent="0.3">
      <c r="A4345" s="4">
        <v>4342</v>
      </c>
      <c r="B4345" s="5">
        <v>87103.496186758392</v>
      </c>
      <c r="C4345" s="19">
        <v>8.1847532189045786</v>
      </c>
      <c r="D4345" s="5">
        <v>166409.34799566795</v>
      </c>
      <c r="E4345" s="6">
        <v>91.047839961406467</v>
      </c>
    </row>
    <row r="4346" spans="1:5" x14ac:dyDescent="0.3">
      <c r="A4346" s="4">
        <v>4343</v>
      </c>
      <c r="B4346" s="5">
        <v>75766.872505170686</v>
      </c>
      <c r="C4346" s="19">
        <v>-5.8956211520452086</v>
      </c>
      <c r="D4346" s="5">
        <v>145688.68023564378</v>
      </c>
      <c r="E4346" s="6">
        <v>92.285461202983271</v>
      </c>
    </row>
    <row r="4347" spans="1:5" x14ac:dyDescent="0.3">
      <c r="A4347" s="4">
        <v>4344</v>
      </c>
      <c r="B4347" s="5">
        <v>57913.253636469999</v>
      </c>
      <c r="C4347" s="19">
        <v>-28.070268966794927</v>
      </c>
      <c r="D4347" s="5">
        <v>107177.02639187612</v>
      </c>
      <c r="E4347" s="6">
        <v>85.064764388203884</v>
      </c>
    </row>
    <row r="4348" spans="1:5" x14ac:dyDescent="0.3">
      <c r="A4348" s="4">
        <v>4345</v>
      </c>
      <c r="B4348" s="5">
        <v>59868.71830609913</v>
      </c>
      <c r="C4348" s="19">
        <v>-25.641532211400776</v>
      </c>
      <c r="D4348" s="5">
        <v>115606.38434209919</v>
      </c>
      <c r="E4348" s="6">
        <v>93.09981508376768</v>
      </c>
    </row>
    <row r="4349" spans="1:5" x14ac:dyDescent="0.3">
      <c r="A4349" s="4">
        <v>4346</v>
      </c>
      <c r="B4349" s="5">
        <v>138739.60449996314</v>
      </c>
      <c r="C4349" s="19">
        <v>72.31811042733672</v>
      </c>
      <c r="D4349" s="5">
        <v>221647.41258084067</v>
      </c>
      <c r="E4349" s="6">
        <v>59.75785240248365</v>
      </c>
    </row>
    <row r="4350" spans="1:5" x14ac:dyDescent="0.3">
      <c r="A4350" s="4">
        <v>4347</v>
      </c>
      <c r="B4350" s="5">
        <v>44327.107949971949</v>
      </c>
      <c r="C4350" s="19">
        <v>-44.944606767638788</v>
      </c>
      <c r="D4350" s="5">
        <v>96885.17613279233</v>
      </c>
      <c r="E4350" s="6">
        <v>118.56868316818228</v>
      </c>
    </row>
    <row r="4351" spans="1:5" x14ac:dyDescent="0.3">
      <c r="A4351" s="4">
        <v>4348</v>
      </c>
      <c r="B4351" s="5">
        <v>79652.760911025558</v>
      </c>
      <c r="C4351" s="19">
        <v>-1.0692491161599169</v>
      </c>
      <c r="D4351" s="5">
        <v>143836.95298618381</v>
      </c>
      <c r="E4351" s="6">
        <v>80.579996651784427</v>
      </c>
    </row>
    <row r="4352" spans="1:5" x14ac:dyDescent="0.3">
      <c r="A4352" s="4">
        <v>4349</v>
      </c>
      <c r="B4352" s="5">
        <v>55033.835237403859</v>
      </c>
      <c r="C4352" s="19">
        <v>-31.646579706940621</v>
      </c>
      <c r="D4352" s="5">
        <v>97899.207929243261</v>
      </c>
      <c r="E4352" s="6">
        <v>77.889124948184346</v>
      </c>
    </row>
    <row r="4353" spans="1:5" x14ac:dyDescent="0.3">
      <c r="A4353" s="4">
        <v>4350</v>
      </c>
      <c r="B4353" s="5">
        <v>120610.45393788572</v>
      </c>
      <c r="C4353" s="19">
        <v>49.801245255570272</v>
      </c>
      <c r="D4353" s="5">
        <v>250410.75578132973</v>
      </c>
      <c r="E4353" s="6">
        <v>107.61944558329171</v>
      </c>
    </row>
    <row r="4354" spans="1:5" x14ac:dyDescent="0.3">
      <c r="A4354" s="4">
        <v>4351</v>
      </c>
      <c r="B4354" s="5">
        <v>26010.827534761767</v>
      </c>
      <c r="C4354" s="19">
        <v>-67.693891966928021</v>
      </c>
      <c r="D4354" s="5">
        <v>55508.405077498202</v>
      </c>
      <c r="E4354" s="6">
        <v>113.40499452897012</v>
      </c>
    </row>
    <row r="4355" spans="1:5" x14ac:dyDescent="0.3">
      <c r="A4355" s="4">
        <v>4352</v>
      </c>
      <c r="B4355" s="5">
        <v>38995.457318109402</v>
      </c>
      <c r="C4355" s="19">
        <v>-51.566652186122838</v>
      </c>
      <c r="D4355" s="5">
        <v>74093.037046151701</v>
      </c>
      <c r="E4355" s="6">
        <v>90.004277784794851</v>
      </c>
    </row>
    <row r="4356" spans="1:5" x14ac:dyDescent="0.3">
      <c r="A4356" s="4">
        <v>4353</v>
      </c>
      <c r="B4356" s="5">
        <v>52164.692822152327</v>
      </c>
      <c r="C4356" s="19">
        <v>-35.210127414352463</v>
      </c>
      <c r="D4356" s="5">
        <v>97263.411544275819</v>
      </c>
      <c r="E4356" s="6">
        <v>86.454489199966716</v>
      </c>
    </row>
    <row r="4357" spans="1:5" x14ac:dyDescent="0.3">
      <c r="A4357" s="4">
        <v>4354</v>
      </c>
      <c r="B4357" s="5">
        <v>89530.085605735469</v>
      </c>
      <c r="C4357" s="19">
        <v>11.198638871585748</v>
      </c>
      <c r="D4357" s="5">
        <v>176708.78330549697</v>
      </c>
      <c r="E4357" s="6">
        <v>97.373633801347182</v>
      </c>
    </row>
    <row r="4358" spans="1:5" x14ac:dyDescent="0.3">
      <c r="A4358" s="4">
        <v>4355</v>
      </c>
      <c r="B4358" s="5">
        <v>92651.756634517806</v>
      </c>
      <c r="C4358" s="19">
        <v>15.07583352695667</v>
      </c>
      <c r="D4358" s="5">
        <v>154870.98704158296</v>
      </c>
      <c r="E4358" s="6">
        <v>67.15385942708086</v>
      </c>
    </row>
    <row r="4359" spans="1:5" x14ac:dyDescent="0.3">
      <c r="A4359" s="4">
        <v>4356</v>
      </c>
      <c r="B4359" s="5">
        <v>49831.474752458744</v>
      </c>
      <c r="C4359" s="19">
        <v>-38.108043481171165</v>
      </c>
      <c r="D4359" s="5">
        <v>93596.77052121298</v>
      </c>
      <c r="E4359" s="6">
        <v>87.826611566607909</v>
      </c>
    </row>
    <row r="4360" spans="1:5" x14ac:dyDescent="0.3">
      <c r="A4360" s="4">
        <v>4357</v>
      </c>
      <c r="B4360" s="5">
        <v>102680.99684701259</v>
      </c>
      <c r="C4360" s="19">
        <v>27.532404443874785</v>
      </c>
      <c r="D4360" s="5">
        <v>163494.34272942075</v>
      </c>
      <c r="E4360" s="6">
        <v>59.225511778986458</v>
      </c>
    </row>
    <row r="4361" spans="1:5" x14ac:dyDescent="0.3">
      <c r="A4361" s="4">
        <v>4358</v>
      </c>
      <c r="B4361" s="5">
        <v>47811.198916603542</v>
      </c>
      <c r="C4361" s="19">
        <v>-40.617277350125072</v>
      </c>
      <c r="D4361" s="5">
        <v>88940.992895303512</v>
      </c>
      <c r="E4361" s="6">
        <v>86.025439459157127</v>
      </c>
    </row>
    <row r="4362" spans="1:5" x14ac:dyDescent="0.3">
      <c r="A4362" s="4">
        <v>4359</v>
      </c>
      <c r="B4362" s="5">
        <v>84680.643485052715</v>
      </c>
      <c r="C4362" s="19">
        <v>5.1755086639238783</v>
      </c>
      <c r="D4362" s="5">
        <v>146191.65937914347</v>
      </c>
      <c r="E4362" s="6">
        <v>72.638814919903496</v>
      </c>
    </row>
    <row r="4363" spans="1:5" x14ac:dyDescent="0.3">
      <c r="A4363" s="4">
        <v>4360</v>
      </c>
      <c r="B4363" s="5">
        <v>86990.267487829522</v>
      </c>
      <c r="C4363" s="19">
        <v>8.0441203007418789</v>
      </c>
      <c r="D4363" s="5">
        <v>176999.93171776074</v>
      </c>
      <c r="E4363" s="6">
        <v>103.47095925705037</v>
      </c>
    </row>
    <row r="4364" spans="1:5" x14ac:dyDescent="0.3">
      <c r="A4364" s="4">
        <v>4361</v>
      </c>
      <c r="B4364" s="5">
        <v>81062.842893668872</v>
      </c>
      <c r="C4364" s="19">
        <v>0.68210849850585853</v>
      </c>
      <c r="D4364" s="5">
        <v>160078.51267682575</v>
      </c>
      <c r="E4364" s="6">
        <v>97.474585102822871</v>
      </c>
    </row>
    <row r="4365" spans="1:5" x14ac:dyDescent="0.3">
      <c r="A4365" s="4">
        <v>4362</v>
      </c>
      <c r="B4365" s="5">
        <v>87928.116477001051</v>
      </c>
      <c r="C4365" s="19">
        <v>9.2089525507881778</v>
      </c>
      <c r="D4365" s="5">
        <v>153792.75742049186</v>
      </c>
      <c r="E4365" s="6">
        <v>74.907371592246847</v>
      </c>
    </row>
    <row r="4366" spans="1:5" x14ac:dyDescent="0.3">
      <c r="A4366" s="4">
        <v>4363</v>
      </c>
      <c r="B4366" s="5">
        <v>50934.419009536912</v>
      </c>
      <c r="C4366" s="19">
        <v>-36.738158717758544</v>
      </c>
      <c r="D4366" s="5">
        <v>88318.155537240207</v>
      </c>
      <c r="E4366" s="6">
        <v>73.395823992227335</v>
      </c>
    </row>
    <row r="4367" spans="1:5" x14ac:dyDescent="0.3">
      <c r="A4367" s="4">
        <v>4364</v>
      </c>
      <c r="B4367" s="5">
        <v>67313.905126141006</v>
      </c>
      <c r="C4367" s="19">
        <v>-16.394421199141341</v>
      </c>
      <c r="D4367" s="5">
        <v>126972.43828883831</v>
      </c>
      <c r="E4367" s="6">
        <v>88.62735426046352</v>
      </c>
    </row>
    <row r="4368" spans="1:5" x14ac:dyDescent="0.3">
      <c r="A4368" s="4">
        <v>4365</v>
      </c>
      <c r="B4368" s="5">
        <v>47651.405025397849</v>
      </c>
      <c r="C4368" s="19">
        <v>-40.815745419063553</v>
      </c>
      <c r="D4368" s="5">
        <v>85956.411297312661</v>
      </c>
      <c r="E4368" s="6">
        <v>80.385890513613447</v>
      </c>
    </row>
    <row r="4369" spans="1:5" x14ac:dyDescent="0.3">
      <c r="A4369" s="4">
        <v>4366</v>
      </c>
      <c r="B4369" s="5">
        <v>47054.894345608074</v>
      </c>
      <c r="C4369" s="19">
        <v>-41.556626824640333</v>
      </c>
      <c r="D4369" s="5">
        <v>101135.91714668594</v>
      </c>
      <c r="E4369" s="6">
        <v>114.93176969831107</v>
      </c>
    </row>
    <row r="4370" spans="1:5" x14ac:dyDescent="0.3">
      <c r="A4370" s="4">
        <v>4367</v>
      </c>
      <c r="B4370" s="5">
        <v>42862.742082661367</v>
      </c>
      <c r="C4370" s="19">
        <v>-46.76338634495346</v>
      </c>
      <c r="D4370" s="5">
        <v>69300.67073698985</v>
      </c>
      <c r="E4370" s="6">
        <v>61.68044173035544</v>
      </c>
    </row>
    <row r="4371" spans="1:5" x14ac:dyDescent="0.3">
      <c r="A4371" s="4">
        <v>4368</v>
      </c>
      <c r="B4371" s="5">
        <v>68806.706029997702</v>
      </c>
      <c r="C4371" s="19">
        <v>-14.540324584667609</v>
      </c>
      <c r="D4371" s="5">
        <v>138769.6286661973</v>
      </c>
      <c r="E4371" s="6">
        <v>101.68038360344967</v>
      </c>
    </row>
    <row r="4372" spans="1:5" x14ac:dyDescent="0.3">
      <c r="A4372" s="4">
        <v>4369</v>
      </c>
      <c r="B4372" s="5">
        <v>41477.51128516117</v>
      </c>
      <c r="C4372" s="19">
        <v>-48.483878156871882</v>
      </c>
      <c r="D4372" s="5">
        <v>72074.307196629845</v>
      </c>
      <c r="E4372" s="6">
        <v>73.76719326555849</v>
      </c>
    </row>
    <row r="4373" spans="1:5" x14ac:dyDescent="0.3">
      <c r="A4373" s="4">
        <v>4370</v>
      </c>
      <c r="B4373" s="5">
        <v>104140.30926341849</v>
      </c>
      <c r="C4373" s="19">
        <v>29.344907506893691</v>
      </c>
      <c r="D4373" s="5">
        <v>163394.04345179757</v>
      </c>
      <c r="E4373" s="6">
        <v>56.897981778121355</v>
      </c>
    </row>
    <row r="4374" spans="1:5" x14ac:dyDescent="0.3">
      <c r="A4374" s="4">
        <v>4371</v>
      </c>
      <c r="B4374" s="5">
        <v>59435.760776962008</v>
      </c>
      <c r="C4374" s="19">
        <v>-26.179276452384375</v>
      </c>
      <c r="D4374" s="5">
        <v>116467.98666305245</v>
      </c>
      <c r="E4374" s="6">
        <v>95.956079539570382</v>
      </c>
    </row>
    <row r="4375" spans="1:5" x14ac:dyDescent="0.3">
      <c r="A4375" s="4">
        <v>4372</v>
      </c>
      <c r="B4375" s="5">
        <v>37778.902892947648</v>
      </c>
      <c r="C4375" s="19">
        <v>-53.077643662071182</v>
      </c>
      <c r="D4375" s="5">
        <v>70970.249873504159</v>
      </c>
      <c r="E4375" s="6">
        <v>87.856831297111299</v>
      </c>
    </row>
    <row r="4376" spans="1:5" x14ac:dyDescent="0.3">
      <c r="A4376" s="4">
        <v>4373</v>
      </c>
      <c r="B4376" s="5">
        <v>41604.938542199365</v>
      </c>
      <c r="C4376" s="19">
        <v>-48.325610269134273</v>
      </c>
      <c r="D4376" s="5">
        <v>82257.614896000159</v>
      </c>
      <c r="E4376" s="6">
        <v>97.711179918141923</v>
      </c>
    </row>
    <row r="4377" spans="1:5" x14ac:dyDescent="0.3">
      <c r="A4377" s="4">
        <v>4374</v>
      </c>
      <c r="B4377" s="5">
        <v>72371.410893000066</v>
      </c>
      <c r="C4377" s="19">
        <v>-10.112870661632467</v>
      </c>
      <c r="D4377" s="5">
        <v>143374.78347754321</v>
      </c>
      <c r="E4377" s="6">
        <v>98.109697888190212</v>
      </c>
    </row>
    <row r="4378" spans="1:5" x14ac:dyDescent="0.3">
      <c r="A4378" s="4">
        <v>4375</v>
      </c>
      <c r="B4378" s="5">
        <v>122082.09441655745</v>
      </c>
      <c r="C4378" s="19">
        <v>51.629060084847531</v>
      </c>
      <c r="D4378" s="5">
        <v>217514.13411375601</v>
      </c>
      <c r="E4378" s="6">
        <v>78.170382113181986</v>
      </c>
    </row>
    <row r="4379" spans="1:5" x14ac:dyDescent="0.3">
      <c r="A4379" s="4">
        <v>4376</v>
      </c>
      <c r="B4379" s="5">
        <v>52193.409064060324</v>
      </c>
      <c r="C4379" s="19">
        <v>-35.174461112996077</v>
      </c>
      <c r="D4379" s="5">
        <v>104083.31480557325</v>
      </c>
      <c r="E4379" s="6">
        <v>99.418502588756184</v>
      </c>
    </row>
    <row r="4380" spans="1:5" x14ac:dyDescent="0.3">
      <c r="A4380" s="4">
        <v>4377</v>
      </c>
      <c r="B4380" s="5">
        <v>70613.763133417291</v>
      </c>
      <c r="C4380" s="19">
        <v>-12.295913793546728</v>
      </c>
      <c r="D4380" s="5">
        <v>135523.9444169224</v>
      </c>
      <c r="E4380" s="6">
        <v>91.922846769777919</v>
      </c>
    </row>
    <row r="4381" spans="1:5" x14ac:dyDescent="0.3">
      <c r="A4381" s="4">
        <v>4378</v>
      </c>
      <c r="B4381" s="5">
        <v>69383.092171103315</v>
      </c>
      <c r="C4381" s="19">
        <v>-13.82443836695931</v>
      </c>
      <c r="D4381" s="5">
        <v>142683.14541381074</v>
      </c>
      <c r="E4381" s="6">
        <v>105.64541151026336</v>
      </c>
    </row>
    <row r="4382" spans="1:5" x14ac:dyDescent="0.3">
      <c r="A4382" s="4">
        <v>4379</v>
      </c>
      <c r="B4382" s="5">
        <v>76187.935631363231</v>
      </c>
      <c r="C4382" s="19">
        <v>-5.3726500614353476</v>
      </c>
      <c r="D4382" s="5">
        <v>135004.10561182309</v>
      </c>
      <c r="E4382" s="6">
        <v>77.198797280770293</v>
      </c>
    </row>
    <row r="4383" spans="1:5" x14ac:dyDescent="0.3">
      <c r="A4383" s="4">
        <v>4380</v>
      </c>
      <c r="B4383" s="5">
        <v>36356.519028839612</v>
      </c>
      <c r="C4383" s="19">
        <v>-54.844280525775766</v>
      </c>
      <c r="D4383" s="5">
        <v>72211.143368995778</v>
      </c>
      <c r="E4383" s="6">
        <v>98.619519409200535</v>
      </c>
    </row>
    <row r="4384" spans="1:5" x14ac:dyDescent="0.3">
      <c r="A4384" s="4">
        <v>4381</v>
      </c>
      <c r="B4384" s="5">
        <v>29006.796290534912</v>
      </c>
      <c r="C4384" s="19">
        <v>-63.972822725345281</v>
      </c>
      <c r="D4384" s="5">
        <v>51485.790083162072</v>
      </c>
      <c r="E4384" s="6">
        <v>77.495610226911509</v>
      </c>
    </row>
    <row r="4385" spans="1:5" x14ac:dyDescent="0.3">
      <c r="A4385" s="4">
        <v>4382</v>
      </c>
      <c r="B4385" s="5">
        <v>57817.74174547266</v>
      </c>
      <c r="C4385" s="19">
        <v>-28.18889715979952</v>
      </c>
      <c r="D4385" s="5">
        <v>115617.98509592138</v>
      </c>
      <c r="E4385" s="6">
        <v>99.969735249949792</v>
      </c>
    </row>
    <row r="4386" spans="1:5" x14ac:dyDescent="0.3">
      <c r="A4386" s="4">
        <v>4383</v>
      </c>
      <c r="B4386" s="5">
        <v>71789.594631514541</v>
      </c>
      <c r="C4386" s="19">
        <v>-10.835501226685789</v>
      </c>
      <c r="D4386" s="5">
        <v>146664.65886707135</v>
      </c>
      <c r="E4386" s="6">
        <v>104.29793428961334</v>
      </c>
    </row>
    <row r="4387" spans="1:5" x14ac:dyDescent="0.3">
      <c r="A4387" s="4">
        <v>4384</v>
      </c>
      <c r="B4387" s="5">
        <v>41971.119691601278</v>
      </c>
      <c r="C4387" s="19">
        <v>-47.870803986771939</v>
      </c>
      <c r="D4387" s="5">
        <v>83789.290353925579</v>
      </c>
      <c r="E4387" s="6">
        <v>99.635585063251042</v>
      </c>
    </row>
    <row r="4388" spans="1:5" x14ac:dyDescent="0.3">
      <c r="A4388" s="4">
        <v>4385</v>
      </c>
      <c r="B4388" s="5">
        <v>58877.696347135621</v>
      </c>
      <c r="C4388" s="19">
        <v>-26.872406639622419</v>
      </c>
      <c r="D4388" s="5">
        <v>97305.952074215529</v>
      </c>
      <c r="E4388" s="6">
        <v>65.267933549083949</v>
      </c>
    </row>
    <row r="4389" spans="1:5" x14ac:dyDescent="0.3">
      <c r="A4389" s="4">
        <v>4386</v>
      </c>
      <c r="B4389" s="5">
        <v>116535.24522663123</v>
      </c>
      <c r="C4389" s="19">
        <v>44.739732594846345</v>
      </c>
      <c r="D4389" s="5">
        <v>244318.51526348118</v>
      </c>
      <c r="E4389" s="6">
        <v>109.65203684803184</v>
      </c>
    </row>
    <row r="4390" spans="1:5" x14ac:dyDescent="0.3">
      <c r="A4390" s="4">
        <v>4387</v>
      </c>
      <c r="B4390" s="5">
        <v>92820.769890308438</v>
      </c>
      <c r="C4390" s="19">
        <v>15.285752280725509</v>
      </c>
      <c r="D4390" s="5">
        <v>166957.1340516067</v>
      </c>
      <c r="E4390" s="6">
        <v>79.870447367447397</v>
      </c>
    </row>
    <row r="4391" spans="1:5" x14ac:dyDescent="0.3">
      <c r="A4391" s="4">
        <v>4388</v>
      </c>
      <c r="B4391" s="5">
        <v>59852.701976626777</v>
      </c>
      <c r="C4391" s="19">
        <v>-25.6614248991492</v>
      </c>
      <c r="D4391" s="5">
        <v>105038.42077424561</v>
      </c>
      <c r="E4391" s="6">
        <v>75.494868745047484</v>
      </c>
    </row>
    <row r="4392" spans="1:5" x14ac:dyDescent="0.3">
      <c r="A4392" s="4">
        <v>4389</v>
      </c>
      <c r="B4392" s="5">
        <v>73409.56790613287</v>
      </c>
      <c r="C4392" s="19">
        <v>-8.8234532996997377</v>
      </c>
      <c r="D4392" s="5">
        <v>140546.85200231013</v>
      </c>
      <c r="E4392" s="6">
        <v>91.455767975673368</v>
      </c>
    </row>
    <row r="4393" spans="1:5" x14ac:dyDescent="0.3">
      <c r="A4393" s="4">
        <v>4390</v>
      </c>
      <c r="B4393" s="5">
        <v>153754.16921187687</v>
      </c>
      <c r="C4393" s="19">
        <v>90.966580915420252</v>
      </c>
      <c r="D4393" s="5">
        <v>244215.00856970652</v>
      </c>
      <c r="E4393" s="6">
        <v>58.834722870618542</v>
      </c>
    </row>
    <row r="4394" spans="1:5" x14ac:dyDescent="0.3">
      <c r="A4394" s="4">
        <v>4391</v>
      </c>
      <c r="B4394" s="5">
        <v>67874.45002511151</v>
      </c>
      <c r="C4394" s="19">
        <v>-15.698210206264354</v>
      </c>
      <c r="D4394" s="5">
        <v>129383.59680260312</v>
      </c>
      <c r="E4394" s="6">
        <v>90.62194500984549</v>
      </c>
    </row>
    <row r="4395" spans="1:5" x14ac:dyDescent="0.3">
      <c r="A4395" s="4">
        <v>4392</v>
      </c>
      <c r="B4395" s="5">
        <v>77195.238416224471</v>
      </c>
      <c r="C4395" s="19">
        <v>-4.121554434191224</v>
      </c>
      <c r="D4395" s="5">
        <v>132494.21198536622</v>
      </c>
      <c r="E4395" s="6">
        <v>71.635213134492119</v>
      </c>
    </row>
    <row r="4396" spans="1:5" x14ac:dyDescent="0.3">
      <c r="A4396" s="4">
        <v>4393</v>
      </c>
      <c r="B4396" s="5">
        <v>79150.845304099115</v>
      </c>
      <c r="C4396" s="19">
        <v>-1.6926410401262093</v>
      </c>
      <c r="D4396" s="5">
        <v>146037.58567693151</v>
      </c>
      <c r="E4396" s="6">
        <v>84.505402457613968</v>
      </c>
    </row>
    <row r="4397" spans="1:5" x14ac:dyDescent="0.3">
      <c r="A4397" s="4">
        <v>4394</v>
      </c>
      <c r="B4397" s="5">
        <v>87699.458311495546</v>
      </c>
      <c r="C4397" s="19">
        <v>8.9249533051819938</v>
      </c>
      <c r="D4397" s="5">
        <v>157731.66967555386</v>
      </c>
      <c r="E4397" s="6">
        <v>79.854782130254705</v>
      </c>
    </row>
    <row r="4398" spans="1:5" x14ac:dyDescent="0.3">
      <c r="A4398" s="4">
        <v>4395</v>
      </c>
      <c r="B4398" s="5">
        <v>94226.040539302645</v>
      </c>
      <c r="C4398" s="19">
        <v>17.031134096872631</v>
      </c>
      <c r="D4398" s="5">
        <v>180586.02869243987</v>
      </c>
      <c r="E4398" s="6">
        <v>91.651933646851674</v>
      </c>
    </row>
    <row r="4399" spans="1:5" x14ac:dyDescent="0.3">
      <c r="A4399" s="4">
        <v>4396</v>
      </c>
      <c r="B4399" s="5">
        <v>102362.18152060536</v>
      </c>
      <c r="C4399" s="19">
        <v>27.136427715962292</v>
      </c>
      <c r="D4399" s="5">
        <v>157383.29996535025</v>
      </c>
      <c r="E4399" s="6">
        <v>53.751412511337712</v>
      </c>
    </row>
    <row r="4400" spans="1:5" x14ac:dyDescent="0.3">
      <c r="A4400" s="4">
        <v>4397</v>
      </c>
      <c r="B4400" s="5">
        <v>52095.090821667254</v>
      </c>
      <c r="C4400" s="19">
        <v>-35.29657486566802</v>
      </c>
      <c r="D4400" s="5">
        <v>93385.035617664893</v>
      </c>
      <c r="E4400" s="6">
        <v>79.258801827108883</v>
      </c>
    </row>
    <row r="4401" spans="1:5" x14ac:dyDescent="0.3">
      <c r="A4401" s="4">
        <v>4398</v>
      </c>
      <c r="B4401" s="5">
        <v>78561.071309082996</v>
      </c>
      <c r="C4401" s="19">
        <v>-2.4251553122163116</v>
      </c>
      <c r="D4401" s="5">
        <v>156822.82720138741</v>
      </c>
      <c r="E4401" s="6">
        <v>99.619002882991509</v>
      </c>
    </row>
    <row r="4402" spans="1:5" x14ac:dyDescent="0.3">
      <c r="A4402" s="4">
        <v>4399</v>
      </c>
      <c r="B4402" s="5">
        <v>92346.542869142388</v>
      </c>
      <c r="C4402" s="19">
        <v>14.696750283095191</v>
      </c>
      <c r="D4402" s="5">
        <v>185578.33563941999</v>
      </c>
      <c r="E4402" s="6">
        <v>100.95861726235886</v>
      </c>
    </row>
    <row r="4403" spans="1:5" x14ac:dyDescent="0.3">
      <c r="A4403" s="4">
        <v>4400</v>
      </c>
      <c r="B4403" s="5">
        <v>23059.66133920589</v>
      </c>
      <c r="C4403" s="19">
        <v>-71.359315291493971</v>
      </c>
      <c r="D4403" s="5">
        <v>43780.936326748975</v>
      </c>
      <c r="E4403" s="6">
        <v>89.859407225174223</v>
      </c>
    </row>
    <row r="4404" spans="1:5" x14ac:dyDescent="0.3">
      <c r="A4404" s="4">
        <v>4401</v>
      </c>
      <c r="B4404" s="5">
        <v>73372.698378937916</v>
      </c>
      <c r="C4404" s="19">
        <v>-8.8692461883380034</v>
      </c>
      <c r="D4404" s="5">
        <v>153369.84179748569</v>
      </c>
      <c r="E4404" s="6">
        <v>109.02848768815548</v>
      </c>
    </row>
    <row r="4405" spans="1:5" x14ac:dyDescent="0.3">
      <c r="A4405" s="4">
        <v>4402</v>
      </c>
      <c r="B4405" s="5">
        <v>77481.815442425752</v>
      </c>
      <c r="C4405" s="19">
        <v>-3.7656184934418531</v>
      </c>
      <c r="D4405" s="5">
        <v>159037.788244442</v>
      </c>
      <c r="E4405" s="6">
        <v>105.25821102193697</v>
      </c>
    </row>
    <row r="4406" spans="1:5" x14ac:dyDescent="0.3">
      <c r="A4406" s="4">
        <v>4403</v>
      </c>
      <c r="B4406" s="5">
        <v>79138.715938401874</v>
      </c>
      <c r="C4406" s="19">
        <v>-1.707706020202834</v>
      </c>
      <c r="D4406" s="5">
        <v>145885.50888003889</v>
      </c>
      <c r="E4406" s="6">
        <v>84.341516222716834</v>
      </c>
    </row>
    <row r="4407" spans="1:5" x14ac:dyDescent="0.3">
      <c r="A4407" s="4">
        <v>4404</v>
      </c>
      <c r="B4407" s="5">
        <v>100496.09266827529</v>
      </c>
      <c r="C4407" s="19">
        <v>24.818697994287035</v>
      </c>
      <c r="D4407" s="5">
        <v>189479.7803296826</v>
      </c>
      <c r="E4407" s="6">
        <v>88.544425259528296</v>
      </c>
    </row>
    <row r="4408" spans="1:5" x14ac:dyDescent="0.3">
      <c r="A4408" s="4">
        <v>4405</v>
      </c>
      <c r="B4408" s="5">
        <v>50881.124015493253</v>
      </c>
      <c r="C4408" s="19">
        <v>-36.804352453151836</v>
      </c>
      <c r="D4408" s="5">
        <v>90834.077063056684</v>
      </c>
      <c r="E4408" s="6">
        <v>78.522151034630824</v>
      </c>
    </row>
    <row r="4409" spans="1:5" x14ac:dyDescent="0.3">
      <c r="A4409" s="4">
        <v>4406</v>
      </c>
      <c r="B4409" s="5">
        <v>160551.22026454736</v>
      </c>
      <c r="C4409" s="19">
        <v>99.408690852922845</v>
      </c>
      <c r="D4409" s="5">
        <v>330575.27424267185</v>
      </c>
      <c r="E4409" s="6">
        <v>105.90019415484251</v>
      </c>
    </row>
    <row r="4410" spans="1:5" x14ac:dyDescent="0.3">
      <c r="A4410" s="4">
        <v>4407</v>
      </c>
      <c r="B4410" s="5">
        <v>65654.046615697822</v>
      </c>
      <c r="C4410" s="19">
        <v>-18.456007601431963</v>
      </c>
      <c r="D4410" s="5">
        <v>110715.56460927143</v>
      </c>
      <c r="E4410" s="6">
        <v>68.634791481077485</v>
      </c>
    </row>
    <row r="4411" spans="1:5" x14ac:dyDescent="0.3">
      <c r="A4411" s="4">
        <v>4408</v>
      </c>
      <c r="B4411" s="5">
        <v>95341.362883103429</v>
      </c>
      <c r="C4411" s="19">
        <v>18.416392758188699</v>
      </c>
      <c r="D4411" s="5">
        <v>156737.60931564061</v>
      </c>
      <c r="E4411" s="6">
        <v>64.396233256927715</v>
      </c>
    </row>
    <row r="4412" spans="1:5" x14ac:dyDescent="0.3">
      <c r="A4412" s="4">
        <v>4409</v>
      </c>
      <c r="B4412" s="5">
        <v>102718.01597889239</v>
      </c>
      <c r="C4412" s="19">
        <v>27.57838314532906</v>
      </c>
      <c r="D4412" s="5">
        <v>199274.81595343596</v>
      </c>
      <c r="E4412" s="6">
        <v>94.001815605925543</v>
      </c>
    </row>
    <row r="4413" spans="1:5" x14ac:dyDescent="0.3">
      <c r="A4413" s="4">
        <v>4410</v>
      </c>
      <c r="B4413" s="5">
        <v>53218.895697013279</v>
      </c>
      <c r="C4413" s="19">
        <v>-33.900780684859996</v>
      </c>
      <c r="D4413" s="5">
        <v>104968.67009453676</v>
      </c>
      <c r="E4413" s="6">
        <v>97.23947428775331</v>
      </c>
    </row>
    <row r="4414" spans="1:5" x14ac:dyDescent="0.3">
      <c r="A4414" s="4">
        <v>4411</v>
      </c>
      <c r="B4414" s="5">
        <v>79827.107900772127</v>
      </c>
      <c r="C4414" s="19">
        <v>-0.85270572943121226</v>
      </c>
      <c r="D4414" s="5">
        <v>137831.90476446587</v>
      </c>
      <c r="E4414" s="6">
        <v>72.663031881094483</v>
      </c>
    </row>
    <row r="4415" spans="1:5" x14ac:dyDescent="0.3">
      <c r="A4415" s="4">
        <v>4412</v>
      </c>
      <c r="B4415" s="5">
        <v>74241.950439407534</v>
      </c>
      <c r="C4415" s="19">
        <v>-7.7896130649407596</v>
      </c>
      <c r="D4415" s="5">
        <v>139739.19149555446</v>
      </c>
      <c r="E4415" s="6">
        <v>88.221336681614275</v>
      </c>
    </row>
    <row r="4416" spans="1:5" x14ac:dyDescent="0.3">
      <c r="A4416" s="4">
        <v>4413</v>
      </c>
      <c r="B4416" s="5">
        <v>71625.93012817399</v>
      </c>
      <c r="C4416" s="19">
        <v>-11.03877669414382</v>
      </c>
      <c r="D4416" s="5">
        <v>131727.90676671566</v>
      </c>
      <c r="E4416" s="6">
        <v>83.910919594328064</v>
      </c>
    </row>
    <row r="4417" spans="1:5" x14ac:dyDescent="0.3">
      <c r="A4417" s="4">
        <v>4414</v>
      </c>
      <c r="B4417" s="5">
        <v>31290.884617797503</v>
      </c>
      <c r="C4417" s="19">
        <v>-61.135927045690011</v>
      </c>
      <c r="D4417" s="5">
        <v>62107.289989011784</v>
      </c>
      <c r="E4417" s="6">
        <v>98.483650263075816</v>
      </c>
    </row>
    <row r="4418" spans="1:5" x14ac:dyDescent="0.3">
      <c r="A4418" s="4">
        <v>4415</v>
      </c>
      <c r="B4418" s="5">
        <v>44184.526998406262</v>
      </c>
      <c r="C4418" s="19">
        <v>-45.12169592862697</v>
      </c>
      <c r="D4418" s="5">
        <v>89011.322531956263</v>
      </c>
      <c r="E4418" s="6">
        <v>101.45360509385313</v>
      </c>
    </row>
    <row r="4419" spans="1:5" x14ac:dyDescent="0.3">
      <c r="A4419" s="4">
        <v>4416</v>
      </c>
      <c r="B4419" s="5">
        <v>55850.521785580568</v>
      </c>
      <c r="C4419" s="19">
        <v>-30.632234284085737</v>
      </c>
      <c r="D4419" s="5">
        <v>123873.74449500708</v>
      </c>
      <c r="E4419" s="6">
        <v>121.79514270355247</v>
      </c>
    </row>
    <row r="4420" spans="1:5" x14ac:dyDescent="0.3">
      <c r="A4420" s="4">
        <v>4417</v>
      </c>
      <c r="B4420" s="5">
        <v>56892.54609309342</v>
      </c>
      <c r="C4420" s="19">
        <v>-29.338013644369148</v>
      </c>
      <c r="D4420" s="5">
        <v>113330.17627057052</v>
      </c>
      <c r="E4420" s="6">
        <v>99.200394521152319</v>
      </c>
    </row>
    <row r="4421" spans="1:5" x14ac:dyDescent="0.3">
      <c r="A4421" s="4">
        <v>4418</v>
      </c>
      <c r="B4421" s="5">
        <v>59607.186752367154</v>
      </c>
      <c r="C4421" s="19">
        <v>-25.966361039612057</v>
      </c>
      <c r="D4421" s="5">
        <v>106830.2944531026</v>
      </c>
      <c r="E4421" s="6">
        <v>79.223849125642715</v>
      </c>
    </row>
    <row r="4422" spans="1:5" x14ac:dyDescent="0.3">
      <c r="A4422" s="4">
        <v>4419</v>
      </c>
      <c r="B4422" s="5">
        <v>66855.937121148148</v>
      </c>
      <c r="C4422" s="19">
        <v>-16.963229085980654</v>
      </c>
      <c r="D4422" s="5">
        <v>83414.30280598333</v>
      </c>
      <c r="E4422" s="6">
        <v>24.767232945714511</v>
      </c>
    </row>
    <row r="4423" spans="1:5" x14ac:dyDescent="0.3">
      <c r="A4423" s="4">
        <v>4420</v>
      </c>
      <c r="B4423" s="5">
        <v>110785.60999293195</v>
      </c>
      <c r="C4423" s="19">
        <v>37.598539691144772</v>
      </c>
      <c r="D4423" s="5">
        <v>226860.26668930642</v>
      </c>
      <c r="E4423" s="6">
        <v>104.77412788879346</v>
      </c>
    </row>
    <row r="4424" spans="1:5" x14ac:dyDescent="0.3">
      <c r="A4424" s="4">
        <v>4421</v>
      </c>
      <c r="B4424" s="5">
        <v>23642.956027689412</v>
      </c>
      <c r="C4424" s="19">
        <v>-70.634848482582115</v>
      </c>
      <c r="D4424" s="5">
        <v>49626.757898733325</v>
      </c>
      <c r="E4424" s="6">
        <v>109.90081714237859</v>
      </c>
    </row>
    <row r="4425" spans="1:5" x14ac:dyDescent="0.3">
      <c r="A4425" s="4">
        <v>4422</v>
      </c>
      <c r="B4425" s="5">
        <v>68445.158865056394</v>
      </c>
      <c r="C4425" s="19">
        <v>-14.989375340705068</v>
      </c>
      <c r="D4425" s="5">
        <v>143132.40093614731</v>
      </c>
      <c r="E4425" s="6">
        <v>109.11983156959451</v>
      </c>
    </row>
    <row r="4426" spans="1:5" x14ac:dyDescent="0.3">
      <c r="A4426" s="4">
        <v>4423</v>
      </c>
      <c r="B4426" s="5">
        <v>34032.046539801784</v>
      </c>
      <c r="C4426" s="19">
        <v>-57.731334359430264</v>
      </c>
      <c r="D4426" s="5">
        <v>71881.593128344975</v>
      </c>
      <c r="E4426" s="6">
        <v>111.21736844205563</v>
      </c>
    </row>
    <row r="4427" spans="1:5" x14ac:dyDescent="0.3">
      <c r="A4427" s="4">
        <v>4424</v>
      </c>
      <c r="B4427" s="5">
        <v>70787.06013997992</v>
      </c>
      <c r="C4427" s="19">
        <v>-12.080674512584284</v>
      </c>
      <c r="D4427" s="5">
        <v>156387.30815786211</v>
      </c>
      <c r="E4427" s="6">
        <v>120.92640639208565</v>
      </c>
    </row>
    <row r="4428" spans="1:5" x14ac:dyDescent="0.3">
      <c r="A4428" s="4">
        <v>4425</v>
      </c>
      <c r="B4428" s="5">
        <v>38462.354336895522</v>
      </c>
      <c r="C4428" s="19">
        <v>-52.228779620585719</v>
      </c>
      <c r="D4428" s="5">
        <v>72325.178994428235</v>
      </c>
      <c r="E4428" s="6">
        <v>88.041476506936945</v>
      </c>
    </row>
    <row r="4429" spans="1:5" x14ac:dyDescent="0.3">
      <c r="A4429" s="4">
        <v>4426</v>
      </c>
      <c r="B4429" s="5">
        <v>134680.92917093722</v>
      </c>
      <c r="C4429" s="19">
        <v>67.277132647008813</v>
      </c>
      <c r="D4429" s="5">
        <v>250544.71306705746</v>
      </c>
      <c r="E4429" s="6">
        <v>86.028352053515874</v>
      </c>
    </row>
    <row r="4430" spans="1:5" x14ac:dyDescent="0.3">
      <c r="A4430" s="4">
        <v>4427</v>
      </c>
      <c r="B4430" s="5">
        <v>64656.169555644032</v>
      </c>
      <c r="C4430" s="19">
        <v>-19.695396239211313</v>
      </c>
      <c r="D4430" s="5">
        <v>128611.27036098093</v>
      </c>
      <c r="E4430" s="6">
        <v>98.915697055477764</v>
      </c>
    </row>
    <row r="4431" spans="1:5" x14ac:dyDescent="0.3">
      <c r="A4431" s="4">
        <v>4428</v>
      </c>
      <c r="B4431" s="5">
        <v>43735.738528465357</v>
      </c>
      <c r="C4431" s="19">
        <v>-45.6791025999269</v>
      </c>
      <c r="D4431" s="5">
        <v>91584.03395101364</v>
      </c>
      <c r="E4431" s="6">
        <v>109.40319526422601</v>
      </c>
    </row>
    <row r="4432" spans="1:5" x14ac:dyDescent="0.3">
      <c r="A4432" s="4">
        <v>4429</v>
      </c>
      <c r="B4432" s="5">
        <v>103545.31435057585</v>
      </c>
      <c r="C4432" s="19">
        <v>28.605908722340079</v>
      </c>
      <c r="D4432" s="5">
        <v>172434.74127721926</v>
      </c>
      <c r="E4432" s="6">
        <v>66.530704318886734</v>
      </c>
    </row>
    <row r="4433" spans="1:5" x14ac:dyDescent="0.3">
      <c r="A4433" s="4">
        <v>4430</v>
      </c>
      <c r="B4433" s="5">
        <v>38486.010353052581</v>
      </c>
      <c r="C4433" s="19">
        <v>-52.19939824805612</v>
      </c>
      <c r="D4433" s="5">
        <v>74618.156804044527</v>
      </c>
      <c r="E4433" s="6">
        <v>93.883845375326274</v>
      </c>
    </row>
    <row r="4434" spans="1:5" x14ac:dyDescent="0.3">
      <c r="A4434" s="4">
        <v>4431</v>
      </c>
      <c r="B4434" s="5">
        <v>96039.955583085568</v>
      </c>
      <c r="C4434" s="19">
        <v>19.284062624000413</v>
      </c>
      <c r="D4434" s="5">
        <v>180831.13209345142</v>
      </c>
      <c r="E4434" s="6">
        <v>88.287396631511101</v>
      </c>
    </row>
    <row r="4435" spans="1:5" x14ac:dyDescent="0.3">
      <c r="A4435" s="4">
        <v>4432</v>
      </c>
      <c r="B4435" s="5">
        <v>60599.343994680705</v>
      </c>
      <c r="C4435" s="19">
        <v>-24.734076560652671</v>
      </c>
      <c r="D4435" s="5">
        <v>116278.12041917027</v>
      </c>
      <c r="E4435" s="6">
        <v>91.880163635726717</v>
      </c>
    </row>
    <row r="4436" spans="1:5" x14ac:dyDescent="0.3">
      <c r="A4436" s="4">
        <v>4433</v>
      </c>
      <c r="B4436" s="5">
        <v>64863.841532671242</v>
      </c>
      <c r="C4436" s="19">
        <v>-19.437462372389259</v>
      </c>
      <c r="D4436" s="5">
        <v>122135.50904398525</v>
      </c>
      <c r="E4436" s="6">
        <v>88.295213724686448</v>
      </c>
    </row>
    <row r="4437" spans="1:5" x14ac:dyDescent="0.3">
      <c r="A4437" s="4">
        <v>4434</v>
      </c>
      <c r="B4437" s="5">
        <v>70294.045702694784</v>
      </c>
      <c r="C4437" s="19">
        <v>-12.693010957916979</v>
      </c>
      <c r="D4437" s="5">
        <v>138329.12126238158</v>
      </c>
      <c r="E4437" s="6">
        <v>96.786399017973451</v>
      </c>
    </row>
    <row r="4438" spans="1:5" x14ac:dyDescent="0.3">
      <c r="A4438" s="4">
        <v>4435</v>
      </c>
      <c r="B4438" s="5">
        <v>65881.830502007331</v>
      </c>
      <c r="C4438" s="19">
        <v>-18.173094232779103</v>
      </c>
      <c r="D4438" s="5">
        <v>141339.12071935312</v>
      </c>
      <c r="E4438" s="6">
        <v>114.53429518028753</v>
      </c>
    </row>
    <row r="4439" spans="1:5" x14ac:dyDescent="0.3">
      <c r="A4439" s="4">
        <v>4436</v>
      </c>
      <c r="B4439" s="5">
        <v>69357.542984202533</v>
      </c>
      <c r="C4439" s="19">
        <v>-13.856171105607118</v>
      </c>
      <c r="D4439" s="5">
        <v>133247.02944040103</v>
      </c>
      <c r="E4439" s="6">
        <v>92.116132877934447</v>
      </c>
    </row>
    <row r="4440" spans="1:5" x14ac:dyDescent="0.3">
      <c r="A4440" s="4">
        <v>4437</v>
      </c>
      <c r="B4440" s="5">
        <v>87101.976523044417</v>
      </c>
      <c r="C4440" s="19">
        <v>8.1828657579980781</v>
      </c>
      <c r="D4440" s="5">
        <v>193884.44482724884</v>
      </c>
      <c r="E4440" s="6">
        <v>122.5947705973735</v>
      </c>
    </row>
    <row r="4441" spans="1:5" x14ac:dyDescent="0.3">
      <c r="A4441" s="4">
        <v>4438</v>
      </c>
      <c r="B4441" s="5">
        <v>104868.38409971293</v>
      </c>
      <c r="C4441" s="19">
        <v>30.24919493435269</v>
      </c>
      <c r="D4441" s="5">
        <v>212331.06461562117</v>
      </c>
      <c r="E4441" s="6">
        <v>102.47385943672838</v>
      </c>
    </row>
    <row r="4442" spans="1:5" x14ac:dyDescent="0.3">
      <c r="A4442" s="4">
        <v>4439</v>
      </c>
      <c r="B4442" s="5">
        <v>68352.891306650767</v>
      </c>
      <c r="C4442" s="19">
        <v>-15.103973990279609</v>
      </c>
      <c r="D4442" s="5">
        <v>143589.74125058128</v>
      </c>
      <c r="E4442" s="6">
        <v>110.07120328882114</v>
      </c>
    </row>
    <row r="4443" spans="1:5" x14ac:dyDescent="0.3">
      <c r="A4443" s="4">
        <v>4440</v>
      </c>
      <c r="B4443" s="5">
        <v>60545.866251008461</v>
      </c>
      <c r="C4443" s="19">
        <v>-24.800497275723405</v>
      </c>
      <c r="D4443" s="5">
        <v>112795.88382695593</v>
      </c>
      <c r="E4443" s="6">
        <v>86.298241005144078</v>
      </c>
    </row>
    <row r="4444" spans="1:5" x14ac:dyDescent="0.3">
      <c r="A4444" s="4">
        <v>4441</v>
      </c>
      <c r="B4444" s="5">
        <v>89621.230138668659</v>
      </c>
      <c r="C4444" s="19">
        <v>11.311842695017679</v>
      </c>
      <c r="D4444" s="5">
        <v>166364.69825506955</v>
      </c>
      <c r="E4444" s="6">
        <v>85.630902407451529</v>
      </c>
    </row>
    <row r="4445" spans="1:5" x14ac:dyDescent="0.3">
      <c r="A4445" s="4">
        <v>4442</v>
      </c>
      <c r="B4445" s="5">
        <v>49256.457397046688</v>
      </c>
      <c r="C4445" s="19">
        <v>-38.822229632304072</v>
      </c>
      <c r="D4445" s="5">
        <v>93026.703149836074</v>
      </c>
      <c r="E4445" s="6">
        <v>88.861944333442381</v>
      </c>
    </row>
    <row r="4446" spans="1:5" x14ac:dyDescent="0.3">
      <c r="A4446" s="4">
        <v>4443</v>
      </c>
      <c r="B4446" s="5">
        <v>109581.52294815288</v>
      </c>
      <c r="C4446" s="19">
        <v>36.103033018092233</v>
      </c>
      <c r="D4446" s="5">
        <v>214140.96285929446</v>
      </c>
      <c r="E4446" s="6">
        <v>95.417034823117547</v>
      </c>
    </row>
    <row r="4447" spans="1:5" x14ac:dyDescent="0.3">
      <c r="A4447" s="4">
        <v>4444</v>
      </c>
      <c r="B4447" s="5">
        <v>44399.229391162771</v>
      </c>
      <c r="C4447" s="19">
        <v>-44.855030107015523</v>
      </c>
      <c r="D4447" s="5">
        <v>85898.962944554194</v>
      </c>
      <c r="E4447" s="6">
        <v>93.469490625104271</v>
      </c>
    </row>
    <row r="4448" spans="1:5" x14ac:dyDescent="0.3">
      <c r="A4448" s="4">
        <v>4445</v>
      </c>
      <c r="B4448" s="5">
        <v>56744.225726433127</v>
      </c>
      <c r="C4448" s="19">
        <v>-29.522231304588857</v>
      </c>
      <c r="D4448" s="5">
        <v>110890.53800631188</v>
      </c>
      <c r="E4448" s="6">
        <v>95.421713111252842</v>
      </c>
    </row>
    <row r="4449" spans="1:5" x14ac:dyDescent="0.3">
      <c r="A4449" s="4">
        <v>4446</v>
      </c>
      <c r="B4449" s="5">
        <v>66846.881083767847</v>
      </c>
      <c r="C4449" s="19">
        <v>-16.974476914277105</v>
      </c>
      <c r="D4449" s="5">
        <v>119327.3807688255</v>
      </c>
      <c r="E4449" s="6">
        <v>78.50852400920958</v>
      </c>
    </row>
    <row r="4450" spans="1:5" x14ac:dyDescent="0.3">
      <c r="A4450" s="4">
        <v>4447</v>
      </c>
      <c r="B4450" s="5">
        <v>93306.088340449875</v>
      </c>
      <c r="C4450" s="19">
        <v>15.888530114677879</v>
      </c>
      <c r="D4450" s="5">
        <v>157799.34524295261</v>
      </c>
      <c r="E4450" s="6">
        <v>69.120095000857233</v>
      </c>
    </row>
    <row r="4451" spans="1:5" x14ac:dyDescent="0.3">
      <c r="A4451" s="4">
        <v>4448</v>
      </c>
      <c r="B4451" s="5">
        <v>51323.851836116897</v>
      </c>
      <c r="C4451" s="19">
        <v>-36.254473262141893</v>
      </c>
      <c r="D4451" s="5">
        <v>103447.68660037499</v>
      </c>
      <c r="E4451" s="6">
        <v>101.55869619976232</v>
      </c>
    </row>
    <row r="4452" spans="1:5" x14ac:dyDescent="0.3">
      <c r="A4452" s="4">
        <v>4449</v>
      </c>
      <c r="B4452" s="5">
        <v>65080.300284576493</v>
      </c>
      <c r="C4452" s="19">
        <v>-19.16861510813327</v>
      </c>
      <c r="D4452" s="5">
        <v>130470.5919439188</v>
      </c>
      <c r="E4452" s="6">
        <v>100.47632136516013</v>
      </c>
    </row>
    <row r="4453" spans="1:5" x14ac:dyDescent="0.3">
      <c r="A4453" s="4">
        <v>4450</v>
      </c>
      <c r="B4453" s="5">
        <v>94765.77781481955</v>
      </c>
      <c r="C4453" s="19">
        <v>17.701501493258689</v>
      </c>
      <c r="D4453" s="5">
        <v>186723.03996931465</v>
      </c>
      <c r="E4453" s="6">
        <v>97.036360883553826</v>
      </c>
    </row>
    <row r="4454" spans="1:5" x14ac:dyDescent="0.3">
      <c r="A4454" s="4">
        <v>4451</v>
      </c>
      <c r="B4454" s="5">
        <v>92946.395740073451</v>
      </c>
      <c r="C4454" s="19">
        <v>15.441782774904562</v>
      </c>
      <c r="D4454" s="5">
        <v>167883.25285257981</v>
      </c>
      <c r="E4454" s="6">
        <v>80.62373641907412</v>
      </c>
    </row>
    <row r="4455" spans="1:5" x14ac:dyDescent="0.3">
      <c r="A4455" s="4">
        <v>4452</v>
      </c>
      <c r="B4455" s="5">
        <v>52200.253702115042</v>
      </c>
      <c r="C4455" s="19">
        <v>-35.165959898794128</v>
      </c>
      <c r="D4455" s="5">
        <v>94598.917037334191</v>
      </c>
      <c r="E4455" s="6">
        <v>81.223098219350703</v>
      </c>
    </row>
    <row r="4456" spans="1:5" x14ac:dyDescent="0.3">
      <c r="A4456" s="4">
        <v>4453</v>
      </c>
      <c r="B4456" s="5">
        <v>57673.79334343681</v>
      </c>
      <c r="C4456" s="19">
        <v>-28.36768472898175</v>
      </c>
      <c r="D4456" s="5">
        <v>119452.8393982096</v>
      </c>
      <c r="E4456" s="6">
        <v>107.1180556598557</v>
      </c>
    </row>
    <row r="4457" spans="1:5" x14ac:dyDescent="0.3">
      <c r="A4457" s="4">
        <v>4454</v>
      </c>
      <c r="B4457" s="5">
        <v>65521.493543686447</v>
      </c>
      <c r="C4457" s="19">
        <v>-18.62064188147523</v>
      </c>
      <c r="D4457" s="5">
        <v>131883.94518647925</v>
      </c>
      <c r="E4457" s="6">
        <v>101.28348432495002</v>
      </c>
    </row>
    <row r="4458" spans="1:5" x14ac:dyDescent="0.3">
      <c r="A4458" s="4">
        <v>4455</v>
      </c>
      <c r="B4458" s="5">
        <v>92348.018811092348</v>
      </c>
      <c r="C4458" s="19">
        <v>14.698583440460997</v>
      </c>
      <c r="D4458" s="5">
        <v>163971.6026029104</v>
      </c>
      <c r="E4458" s="6">
        <v>77.558332830433187</v>
      </c>
    </row>
    <row r="4459" spans="1:5" x14ac:dyDescent="0.3">
      <c r="A4459" s="4">
        <v>4456</v>
      </c>
      <c r="B4459" s="5">
        <v>56906.145121517293</v>
      </c>
      <c r="C4459" s="19">
        <v>-29.321123305881478</v>
      </c>
      <c r="D4459" s="5">
        <v>83947.178644199361</v>
      </c>
      <c r="E4459" s="6">
        <v>47.518652800921039</v>
      </c>
    </row>
    <row r="4460" spans="1:5" x14ac:dyDescent="0.3">
      <c r="A4460" s="4">
        <v>4457</v>
      </c>
      <c r="B4460" s="5">
        <v>41884.307459009477</v>
      </c>
      <c r="C4460" s="19">
        <v>-47.978626983212749</v>
      </c>
      <c r="D4460" s="5">
        <v>79413.704384247278</v>
      </c>
      <c r="E4460" s="6">
        <v>89.602524673390732</v>
      </c>
    </row>
    <row r="4461" spans="1:5" x14ac:dyDescent="0.3">
      <c r="A4461" s="4">
        <v>4458</v>
      </c>
      <c r="B4461" s="5">
        <v>58900.700566125379</v>
      </c>
      <c r="C4461" s="19">
        <v>-26.843834815719227</v>
      </c>
      <c r="D4461" s="5">
        <v>115189.43347936151</v>
      </c>
      <c r="E4461" s="6">
        <v>95.565472689145864</v>
      </c>
    </row>
    <row r="4462" spans="1:5" x14ac:dyDescent="0.3">
      <c r="A4462" s="4">
        <v>4459</v>
      </c>
      <c r="B4462" s="5">
        <v>57517.611752612735</v>
      </c>
      <c r="C4462" s="19">
        <v>-28.561666229154959</v>
      </c>
      <c r="D4462" s="5">
        <v>103537.09549369843</v>
      </c>
      <c r="E4462" s="6">
        <v>80.009378586542695</v>
      </c>
    </row>
    <row r="4463" spans="1:5" x14ac:dyDescent="0.3">
      <c r="A4463" s="4">
        <v>4460</v>
      </c>
      <c r="B4463" s="5">
        <v>43543.792641962289</v>
      </c>
      <c r="C4463" s="19">
        <v>-45.91750426314136</v>
      </c>
      <c r="D4463" s="5">
        <v>91588.180317052029</v>
      </c>
      <c r="E4463" s="6">
        <v>110.33579015528913</v>
      </c>
    </row>
    <row r="4464" spans="1:5" x14ac:dyDescent="0.3">
      <c r="A4464" s="4">
        <v>4461</v>
      </c>
      <c r="B4464" s="5">
        <v>52580.884792597884</v>
      </c>
      <c r="C4464" s="19">
        <v>-34.693206422825291</v>
      </c>
      <c r="D4464" s="5">
        <v>95069.768340010414</v>
      </c>
      <c r="E4464" s="6">
        <v>80.806710870323613</v>
      </c>
    </row>
    <row r="4465" spans="1:5" x14ac:dyDescent="0.3">
      <c r="A4465" s="4">
        <v>4462</v>
      </c>
      <c r="B4465" s="5">
        <v>98365.842131233745</v>
      </c>
      <c r="C4465" s="19">
        <v>22.172872754963134</v>
      </c>
      <c r="D4465" s="5">
        <v>201827.53931692988</v>
      </c>
      <c r="E4465" s="6">
        <v>105.18051281222583</v>
      </c>
    </row>
    <row r="4466" spans="1:5" x14ac:dyDescent="0.3">
      <c r="A4466" s="4">
        <v>4463</v>
      </c>
      <c r="B4466" s="5">
        <v>58426.790572714432</v>
      </c>
      <c r="C4466" s="19">
        <v>-27.432443056830564</v>
      </c>
      <c r="D4466" s="5">
        <v>113427.68166153351</v>
      </c>
      <c r="E4466" s="6">
        <v>94.13642363321037</v>
      </c>
    </row>
    <row r="4467" spans="1:5" x14ac:dyDescent="0.3">
      <c r="A4467" s="4">
        <v>4464</v>
      </c>
      <c r="B4467" s="5">
        <v>129292.22229771907</v>
      </c>
      <c r="C4467" s="19">
        <v>60.584221928498003</v>
      </c>
      <c r="D4467" s="5">
        <v>251378.86206991642</v>
      </c>
      <c r="E4467" s="6">
        <v>94.426901790790211</v>
      </c>
    </row>
    <row r="4468" spans="1:5" x14ac:dyDescent="0.3">
      <c r="A4468" s="4">
        <v>4465</v>
      </c>
      <c r="B4468" s="5">
        <v>48247.491801721684</v>
      </c>
      <c r="C4468" s="19">
        <v>-40.07539051235144</v>
      </c>
      <c r="D4468" s="5">
        <v>93033.256582457499</v>
      </c>
      <c r="E4468" s="6">
        <v>92.825063248443641</v>
      </c>
    </row>
    <row r="4469" spans="1:5" x14ac:dyDescent="0.3">
      <c r="A4469" s="4">
        <v>4466</v>
      </c>
      <c r="B4469" s="5">
        <v>73137.427367869706</v>
      </c>
      <c r="C4469" s="19">
        <v>-9.1614587559874483</v>
      </c>
      <c r="D4469" s="5">
        <v>121310.84561340447</v>
      </c>
      <c r="E4469" s="6">
        <v>65.86698490668816</v>
      </c>
    </row>
    <row r="4470" spans="1:5" x14ac:dyDescent="0.3">
      <c r="A4470" s="4">
        <v>4467</v>
      </c>
      <c r="B4470" s="5">
        <v>63946.813650259006</v>
      </c>
      <c r="C4470" s="19">
        <v>-20.576434279336713</v>
      </c>
      <c r="D4470" s="5">
        <v>128560.43847282804</v>
      </c>
      <c r="E4470" s="6">
        <v>101.04275902777108</v>
      </c>
    </row>
    <row r="4471" spans="1:5" x14ac:dyDescent="0.3">
      <c r="A4471" s="4">
        <v>4468</v>
      </c>
      <c r="B4471" s="5">
        <v>36283.894202771226</v>
      </c>
      <c r="C4471" s="19">
        <v>-54.93448240319443</v>
      </c>
      <c r="D4471" s="5">
        <v>78291.281015685396</v>
      </c>
      <c r="E4471" s="6">
        <v>115.77419606108819</v>
      </c>
    </row>
    <row r="4472" spans="1:5" x14ac:dyDescent="0.3">
      <c r="A4472" s="4">
        <v>4469</v>
      </c>
      <c r="B4472" s="5">
        <v>91801.942330808539</v>
      </c>
      <c r="C4472" s="19">
        <v>14.020342590845903</v>
      </c>
      <c r="D4472" s="5">
        <v>175654.66027263465</v>
      </c>
      <c r="E4472" s="6">
        <v>91.340897385005889</v>
      </c>
    </row>
    <row r="4473" spans="1:5" x14ac:dyDescent="0.3">
      <c r="A4473" s="4">
        <v>4470</v>
      </c>
      <c r="B4473" s="5">
        <v>57321.289048086146</v>
      </c>
      <c r="C4473" s="19">
        <v>-28.805504011451756</v>
      </c>
      <c r="D4473" s="5">
        <v>114802.99724693262</v>
      </c>
      <c r="E4473" s="6">
        <v>100.27985963579039</v>
      </c>
    </row>
    <row r="4474" spans="1:5" x14ac:dyDescent="0.3">
      <c r="A4474" s="4">
        <v>4471</v>
      </c>
      <c r="B4474" s="5">
        <v>47150.556509013921</v>
      </c>
      <c r="C4474" s="19">
        <v>-41.437811989490001</v>
      </c>
      <c r="D4474" s="5">
        <v>95136.983838865883</v>
      </c>
      <c r="E4474" s="6">
        <v>101.77276978836558</v>
      </c>
    </row>
    <row r="4475" spans="1:5" x14ac:dyDescent="0.3">
      <c r="A4475" s="4">
        <v>4472</v>
      </c>
      <c r="B4475" s="5">
        <v>57336.633726901644</v>
      </c>
      <c r="C4475" s="19">
        <v>-28.786445530867709</v>
      </c>
      <c r="D4475" s="5">
        <v>100310.55316367217</v>
      </c>
      <c r="E4475" s="6">
        <v>74.950196137182175</v>
      </c>
    </row>
    <row r="4476" spans="1:5" x14ac:dyDescent="0.3">
      <c r="A4476" s="4">
        <v>4473</v>
      </c>
      <c r="B4476" s="5">
        <v>59191.487956294986</v>
      </c>
      <c r="C4476" s="19">
        <v>-26.482669496049194</v>
      </c>
      <c r="D4476" s="5">
        <v>109561.11990497539</v>
      </c>
      <c r="E4476" s="6">
        <v>85.096073249369326</v>
      </c>
    </row>
    <row r="4477" spans="1:5" x14ac:dyDescent="0.3">
      <c r="A4477" s="4">
        <v>4474</v>
      </c>
      <c r="B4477" s="5">
        <v>41746.889393198944</v>
      </c>
      <c r="C4477" s="19">
        <v>-48.149303709043089</v>
      </c>
      <c r="D4477" s="5">
        <v>72314.092570504232</v>
      </c>
      <c r="E4477" s="6">
        <v>73.220313229576917</v>
      </c>
    </row>
    <row r="4478" spans="1:5" x14ac:dyDescent="0.3">
      <c r="A4478" s="4">
        <v>4475</v>
      </c>
      <c r="B4478" s="5">
        <v>75173.843862794369</v>
      </c>
      <c r="C4478" s="19">
        <v>-6.6321777787696492</v>
      </c>
      <c r="D4478" s="5">
        <v>152689.35706297791</v>
      </c>
      <c r="E4478" s="6">
        <v>103.11500545543892</v>
      </c>
    </row>
    <row r="4479" spans="1:5" x14ac:dyDescent="0.3">
      <c r="A4479" s="4">
        <v>4476</v>
      </c>
      <c r="B4479" s="5">
        <v>69199.905843574001</v>
      </c>
      <c r="C4479" s="19">
        <v>-14.051960435583796</v>
      </c>
      <c r="D4479" s="5">
        <v>132722.43054751062</v>
      </c>
      <c r="E4479" s="6">
        <v>91.795680831602482</v>
      </c>
    </row>
    <row r="4480" spans="1:5" x14ac:dyDescent="0.3">
      <c r="A4480" s="4">
        <v>4477</v>
      </c>
      <c r="B4480" s="5">
        <v>107918.91913358387</v>
      </c>
      <c r="C4480" s="19">
        <v>34.038036878393058</v>
      </c>
      <c r="D4480" s="5">
        <v>202162.47359667532</v>
      </c>
      <c r="E4480" s="6">
        <v>87.328111900782829</v>
      </c>
    </row>
    <row r="4481" spans="1:5" x14ac:dyDescent="0.3">
      <c r="A4481" s="4">
        <v>4478</v>
      </c>
      <c r="B4481" s="5">
        <v>73901.762093813843</v>
      </c>
      <c r="C4481" s="19">
        <v>-8.2121356251958755</v>
      </c>
      <c r="D4481" s="5">
        <v>124690.47891736405</v>
      </c>
      <c r="E4481" s="6">
        <v>68.724635765892799</v>
      </c>
    </row>
    <row r="4482" spans="1:5" x14ac:dyDescent="0.3">
      <c r="A4482" s="4">
        <v>4479</v>
      </c>
      <c r="B4482" s="5">
        <v>57656.575634896632</v>
      </c>
      <c r="C4482" s="19">
        <v>-28.389069560027114</v>
      </c>
      <c r="D4482" s="5">
        <v>104631.03675779287</v>
      </c>
      <c r="E4482" s="6">
        <v>81.472859956783424</v>
      </c>
    </row>
    <row r="4483" spans="1:5" x14ac:dyDescent="0.3">
      <c r="A4483" s="4">
        <v>4480</v>
      </c>
      <c r="B4483" s="5">
        <v>92383.06546393162</v>
      </c>
      <c r="C4483" s="19">
        <v>14.742112272879337</v>
      </c>
      <c r="D4483" s="5">
        <v>181694.20717959094</v>
      </c>
      <c r="E4483" s="6">
        <v>96.674797775062316</v>
      </c>
    </row>
    <row r="4484" spans="1:5" x14ac:dyDescent="0.3">
      <c r="A4484" s="4">
        <v>4481</v>
      </c>
      <c r="B4484" s="5">
        <v>77585.078910447774</v>
      </c>
      <c r="C4484" s="19">
        <v>-3.6373626450137047</v>
      </c>
      <c r="D4484" s="5">
        <v>146512.47904655235</v>
      </c>
      <c r="E4484" s="6">
        <v>88.841051789950129</v>
      </c>
    </row>
    <row r="4485" spans="1:5" x14ac:dyDescent="0.3">
      <c r="A4485" s="4">
        <v>4482</v>
      </c>
      <c r="B4485" s="5">
        <v>74873.558199879219</v>
      </c>
      <c r="C4485" s="19">
        <v>-7.0051401942850591</v>
      </c>
      <c r="D4485" s="5">
        <v>127179.06164818531</v>
      </c>
      <c r="E4485" s="6">
        <v>69.858444964874749</v>
      </c>
    </row>
    <row r="4486" spans="1:5" x14ac:dyDescent="0.3">
      <c r="A4486" s="4">
        <v>4483</v>
      </c>
      <c r="B4486" s="5">
        <v>44206.349356872532</v>
      </c>
      <c r="C4486" s="19">
        <v>-45.094592005493212</v>
      </c>
      <c r="D4486" s="5">
        <v>90639.409641267353</v>
      </c>
      <c r="E4486" s="6">
        <v>105.03708394815941</v>
      </c>
    </row>
    <row r="4487" spans="1:5" x14ac:dyDescent="0.3">
      <c r="A4487" s="4">
        <v>4484</v>
      </c>
      <c r="B4487" s="5">
        <v>54246.520451434197</v>
      </c>
      <c r="C4487" s="19">
        <v>-32.624444655588583</v>
      </c>
      <c r="D4487" s="5">
        <v>102480.34804258324</v>
      </c>
      <c r="E4487" s="6">
        <v>88.915984269132622</v>
      </c>
    </row>
    <row r="4488" spans="1:5" x14ac:dyDescent="0.3">
      <c r="A4488" s="4">
        <v>4485</v>
      </c>
      <c r="B4488" s="5">
        <v>29775.236768422012</v>
      </c>
      <c r="C4488" s="19">
        <v>-63.018400146423929</v>
      </c>
      <c r="D4488" s="5">
        <v>59909.169985861183</v>
      </c>
      <c r="E4488" s="6">
        <v>101.20468042557289</v>
      </c>
    </row>
    <row r="4489" spans="1:5" x14ac:dyDescent="0.3">
      <c r="A4489" s="4">
        <v>4486</v>
      </c>
      <c r="B4489" s="5">
        <v>55154.468510233841</v>
      </c>
      <c r="C4489" s="19">
        <v>-31.496750120041856</v>
      </c>
      <c r="D4489" s="5">
        <v>84151.154135582081</v>
      </c>
      <c r="E4489" s="6">
        <v>52.573592690804269</v>
      </c>
    </row>
    <row r="4490" spans="1:5" x14ac:dyDescent="0.3">
      <c r="A4490" s="4">
        <v>4487</v>
      </c>
      <c r="B4490" s="5">
        <v>39423.949891423828</v>
      </c>
      <c r="C4490" s="19">
        <v>-51.034453533605351</v>
      </c>
      <c r="D4490" s="5">
        <v>75732.425161053354</v>
      </c>
      <c r="E4490" s="6">
        <v>92.097507656197493</v>
      </c>
    </row>
    <row r="4491" spans="1:5" x14ac:dyDescent="0.3">
      <c r="A4491" s="4">
        <v>4488</v>
      </c>
      <c r="B4491" s="5">
        <v>118969.10139043054</v>
      </c>
      <c r="C4491" s="19">
        <v>47.762643729049088</v>
      </c>
      <c r="D4491" s="5">
        <v>190950.12536226652</v>
      </c>
      <c r="E4491" s="6">
        <v>60.503965425114892</v>
      </c>
    </row>
    <row r="4492" spans="1:5" x14ac:dyDescent="0.3">
      <c r="A4492" s="4">
        <v>4489</v>
      </c>
      <c r="B4492" s="5">
        <v>99182.66678476856</v>
      </c>
      <c r="C4492" s="19">
        <v>23.187389708178326</v>
      </c>
      <c r="D4492" s="5">
        <v>158597.81463713228</v>
      </c>
      <c r="E4492" s="6">
        <v>59.904769430426406</v>
      </c>
    </row>
    <row r="4493" spans="1:5" x14ac:dyDescent="0.3">
      <c r="A4493" s="4">
        <v>4490</v>
      </c>
      <c r="B4493" s="5">
        <v>45188.432345075205</v>
      </c>
      <c r="C4493" s="19">
        <v>-43.874820005855128</v>
      </c>
      <c r="D4493" s="5">
        <v>81398.600493905513</v>
      </c>
      <c r="E4493" s="6">
        <v>80.131498858637912</v>
      </c>
    </row>
    <row r="4494" spans="1:5" x14ac:dyDescent="0.3">
      <c r="A4494" s="4">
        <v>4491</v>
      </c>
      <c r="B4494" s="5">
        <v>22574.402104578337</v>
      </c>
      <c r="C4494" s="19">
        <v>-71.962019578275033</v>
      </c>
      <c r="D4494" s="5">
        <v>56415.788504160773</v>
      </c>
      <c r="E4494" s="6">
        <v>149.91044388599346</v>
      </c>
    </row>
    <row r="4495" spans="1:5" x14ac:dyDescent="0.3">
      <c r="A4495" s="4">
        <v>4492</v>
      </c>
      <c r="B4495" s="5">
        <v>90616.354280593834</v>
      </c>
      <c r="C4495" s="19">
        <v>12.547812138603751</v>
      </c>
      <c r="D4495" s="5">
        <v>171520.96554185057</v>
      </c>
      <c r="E4495" s="6">
        <v>89.282571455849293</v>
      </c>
    </row>
    <row r="4496" spans="1:5" x14ac:dyDescent="0.3">
      <c r="A4496" s="4">
        <v>4493</v>
      </c>
      <c r="B4496" s="5">
        <v>78696.620559875388</v>
      </c>
      <c r="C4496" s="19">
        <v>-2.2567997020747796</v>
      </c>
      <c r="D4496" s="5">
        <v>128103.78212471846</v>
      </c>
      <c r="E4496" s="6">
        <v>62.781808435156663</v>
      </c>
    </row>
    <row r="4497" spans="1:5" x14ac:dyDescent="0.3">
      <c r="A4497" s="4">
        <v>4494</v>
      </c>
      <c r="B4497" s="5">
        <v>84287.717646491801</v>
      </c>
      <c r="C4497" s="19">
        <v>4.6874847987635064</v>
      </c>
      <c r="D4497" s="5">
        <v>145519.39346438268</v>
      </c>
      <c r="E4497" s="6">
        <v>72.646024269752488</v>
      </c>
    </row>
    <row r="4498" spans="1:5" x14ac:dyDescent="0.3">
      <c r="A4498" s="4">
        <v>4495</v>
      </c>
      <c r="B4498" s="5">
        <v>41859.347098857404</v>
      </c>
      <c r="C4498" s="19">
        <v>-48.009628384092416</v>
      </c>
      <c r="D4498" s="5">
        <v>76749.672779347107</v>
      </c>
      <c r="E4498" s="6">
        <v>83.351337511525756</v>
      </c>
    </row>
    <row r="4499" spans="1:5" x14ac:dyDescent="0.3">
      <c r="A4499" s="4">
        <v>4496</v>
      </c>
      <c r="B4499" s="5">
        <v>80313.545219372594</v>
      </c>
      <c r="C4499" s="19">
        <v>-0.24853823245240195</v>
      </c>
      <c r="D4499" s="5">
        <v>129158.58901737207</v>
      </c>
      <c r="E4499" s="6">
        <v>60.817940067994236</v>
      </c>
    </row>
    <row r="4500" spans="1:5" x14ac:dyDescent="0.3">
      <c r="A4500" s="4">
        <v>4497</v>
      </c>
      <c r="B4500" s="5">
        <v>56283.267307687172</v>
      </c>
      <c r="C4500" s="19">
        <v>-30.094753361215432</v>
      </c>
      <c r="D4500" s="5">
        <v>119342.27624287711</v>
      </c>
      <c r="E4500" s="6">
        <v>112.03864301349351</v>
      </c>
    </row>
    <row r="4501" spans="1:5" x14ac:dyDescent="0.3">
      <c r="A4501" s="4">
        <v>4498</v>
      </c>
      <c r="B4501" s="5">
        <v>93497.032532478246</v>
      </c>
      <c r="C4501" s="19">
        <v>16.125687647928682</v>
      </c>
      <c r="D4501" s="5">
        <v>179950.4934159953</v>
      </c>
      <c r="E4501" s="6">
        <v>92.466529195443229</v>
      </c>
    </row>
    <row r="4502" spans="1:5" x14ac:dyDescent="0.3">
      <c r="A4502" s="4">
        <v>4499</v>
      </c>
      <c r="B4502" s="5">
        <v>47633.218339251471</v>
      </c>
      <c r="C4502" s="19">
        <v>-40.83833374489145</v>
      </c>
      <c r="D4502" s="5">
        <v>95078.987829777747</v>
      </c>
      <c r="E4502" s="6">
        <v>99.606474525004472</v>
      </c>
    </row>
    <row r="4503" spans="1:5" x14ac:dyDescent="0.3">
      <c r="A4503" s="4">
        <v>4500</v>
      </c>
      <c r="B4503" s="5">
        <v>106237.7542841033</v>
      </c>
      <c r="C4503" s="19">
        <v>31.949987462197505</v>
      </c>
      <c r="D4503" s="5">
        <v>172635.49570334761</v>
      </c>
      <c r="E4503" s="6">
        <v>62.499195193529822</v>
      </c>
    </row>
    <row r="4504" spans="1:5" x14ac:dyDescent="0.3">
      <c r="A4504" s="4">
        <v>4501</v>
      </c>
      <c r="B4504" s="5">
        <v>91574.257986108016</v>
      </c>
      <c r="C4504" s="19">
        <v>13.737552855398077</v>
      </c>
      <c r="D4504" s="5">
        <v>157993.76860546338</v>
      </c>
      <c r="E4504" s="6">
        <v>72.530765828789285</v>
      </c>
    </row>
    <row r="4505" spans="1:5" x14ac:dyDescent="0.3">
      <c r="A4505" s="4">
        <v>4502</v>
      </c>
      <c r="B4505" s="5">
        <v>59742.10326382835</v>
      </c>
      <c r="C4505" s="19">
        <v>-25.798791307780739</v>
      </c>
      <c r="D4505" s="5">
        <v>98388.571959687455</v>
      </c>
      <c r="E4505" s="6">
        <v>64.688831802910627</v>
      </c>
    </row>
    <row r="4506" spans="1:5" x14ac:dyDescent="0.3">
      <c r="A4506" s="4">
        <v>4503</v>
      </c>
      <c r="B4506" s="5">
        <v>52279.948819086712</v>
      </c>
      <c r="C4506" s="19">
        <v>-35.06697654060784</v>
      </c>
      <c r="D4506" s="5">
        <v>87764.323727121999</v>
      </c>
      <c r="E4506" s="6">
        <v>67.873775146238131</v>
      </c>
    </row>
    <row r="4507" spans="1:5" x14ac:dyDescent="0.3">
      <c r="A4507" s="4">
        <v>4504</v>
      </c>
      <c r="B4507" s="5">
        <v>42303.805342658838</v>
      </c>
      <c r="C4507" s="19">
        <v>-47.457599963572193</v>
      </c>
      <c r="D4507" s="5">
        <v>78579.035239472883</v>
      </c>
      <c r="E4507" s="6">
        <v>85.749330593279694</v>
      </c>
    </row>
    <row r="4508" spans="1:5" x14ac:dyDescent="0.3">
      <c r="A4508" s="4">
        <v>4505</v>
      </c>
      <c r="B4508" s="5">
        <v>69406.175896098997</v>
      </c>
      <c r="C4508" s="19">
        <v>-13.795767794578651</v>
      </c>
      <c r="D4508" s="5">
        <v>132331.01317274233</v>
      </c>
      <c r="E4508" s="6">
        <v>90.661726372652737</v>
      </c>
    </row>
    <row r="4509" spans="1:5" x14ac:dyDescent="0.3">
      <c r="A4509" s="4">
        <v>4506</v>
      </c>
      <c r="B4509" s="5">
        <v>60837.711611357001</v>
      </c>
      <c r="C4509" s="19">
        <v>-24.438017930236594</v>
      </c>
      <c r="D4509" s="5">
        <v>121911.65940513891</v>
      </c>
      <c r="E4509" s="6">
        <v>100.38830550355679</v>
      </c>
    </row>
    <row r="4510" spans="1:5" x14ac:dyDescent="0.3">
      <c r="A4510" s="4">
        <v>4507</v>
      </c>
      <c r="B4510" s="5">
        <v>68424.421364809023</v>
      </c>
      <c r="C4510" s="19">
        <v>-15.015131842393917</v>
      </c>
      <c r="D4510" s="5">
        <v>118028.95510826563</v>
      </c>
      <c r="E4510" s="6">
        <v>72.495364599412511</v>
      </c>
    </row>
    <row r="4511" spans="1:5" x14ac:dyDescent="0.3">
      <c r="A4511" s="4">
        <v>4508</v>
      </c>
      <c r="B4511" s="5">
        <v>66524.397714411374</v>
      </c>
      <c r="C4511" s="19">
        <v>-17.375009444638778</v>
      </c>
      <c r="D4511" s="5">
        <v>126837.3289044462</v>
      </c>
      <c r="E4511" s="6">
        <v>90.662874467436268</v>
      </c>
    </row>
    <row r="4512" spans="1:5" x14ac:dyDescent="0.3">
      <c r="A4512" s="4">
        <v>4509</v>
      </c>
      <c r="B4512" s="5">
        <v>31191.304601605083</v>
      </c>
      <c r="C4512" s="19">
        <v>-61.259607953448445</v>
      </c>
      <c r="D4512" s="5">
        <v>48269.974172239345</v>
      </c>
      <c r="E4512" s="6">
        <v>54.754585576889923</v>
      </c>
    </row>
    <row r="4513" spans="1:5" x14ac:dyDescent="0.3">
      <c r="A4513" s="4">
        <v>4510</v>
      </c>
      <c r="B4513" s="5">
        <v>35860.565796116207</v>
      </c>
      <c r="C4513" s="19">
        <v>-55.46026702963848</v>
      </c>
      <c r="D4513" s="5">
        <v>76911.295691332532</v>
      </c>
      <c r="E4513" s="6">
        <v>114.47317961631892</v>
      </c>
    </row>
    <row r="4514" spans="1:5" x14ac:dyDescent="0.3">
      <c r="A4514" s="4">
        <v>4511</v>
      </c>
      <c r="B4514" s="5">
        <v>75545.31534279327</v>
      </c>
      <c r="C4514" s="19">
        <v>-6.1708007715209803</v>
      </c>
      <c r="D4514" s="5">
        <v>136907.28243861056</v>
      </c>
      <c r="E4514" s="6">
        <v>81.225376871328379</v>
      </c>
    </row>
    <row r="4515" spans="1:5" x14ac:dyDescent="0.3">
      <c r="A4515" s="4">
        <v>4512</v>
      </c>
      <c r="B4515" s="5">
        <v>54338.594481799366</v>
      </c>
      <c r="C4515" s="19">
        <v>-32.510086372752625</v>
      </c>
      <c r="D4515" s="5">
        <v>103412.77326955719</v>
      </c>
      <c r="E4515" s="6">
        <v>90.311829475447965</v>
      </c>
    </row>
    <row r="4516" spans="1:5" x14ac:dyDescent="0.3">
      <c r="A4516" s="4">
        <v>4513</v>
      </c>
      <c r="B4516" s="5">
        <v>59369.362046840848</v>
      </c>
      <c r="C4516" s="19">
        <v>-26.261745360599086</v>
      </c>
      <c r="D4516" s="5">
        <v>105718.84068230298</v>
      </c>
      <c r="E4516" s="6">
        <v>78.069692914829744</v>
      </c>
    </row>
    <row r="4517" spans="1:5" x14ac:dyDescent="0.3">
      <c r="A4517" s="4">
        <v>4514</v>
      </c>
      <c r="B4517" s="5">
        <v>85770.648511631502</v>
      </c>
      <c r="C4517" s="19">
        <v>6.529322574618754</v>
      </c>
      <c r="D4517" s="5">
        <v>159974.37247709726</v>
      </c>
      <c r="E4517" s="6">
        <v>86.514122550213514</v>
      </c>
    </row>
    <row r="4518" spans="1:5" x14ac:dyDescent="0.3">
      <c r="A4518" s="4">
        <v>4515</v>
      </c>
      <c r="B4518" s="5">
        <v>42221.128525013301</v>
      </c>
      <c r="C4518" s="19">
        <v>-47.560286669680167</v>
      </c>
      <c r="D4518" s="5">
        <v>68015.209044104689</v>
      </c>
      <c r="E4518" s="6">
        <v>61.092825843842746</v>
      </c>
    </row>
    <row r="4519" spans="1:5" x14ac:dyDescent="0.3">
      <c r="A4519" s="4">
        <v>4516</v>
      </c>
      <c r="B4519" s="5">
        <v>83261.273553462306</v>
      </c>
      <c r="C4519" s="19">
        <v>3.412615180909067</v>
      </c>
      <c r="D4519" s="5">
        <v>153449.54633308592</v>
      </c>
      <c r="E4519" s="6">
        <v>84.298821990220361</v>
      </c>
    </row>
    <row r="4520" spans="1:5" x14ac:dyDescent="0.3">
      <c r="A4520" s="4">
        <v>4517</v>
      </c>
      <c r="B4520" s="5">
        <v>34052.928024267138</v>
      </c>
      <c r="C4520" s="19">
        <v>-57.705399025687917</v>
      </c>
      <c r="D4520" s="5">
        <v>74271.19420808705</v>
      </c>
      <c r="E4520" s="6">
        <v>118.10516310127332</v>
      </c>
    </row>
    <row r="4521" spans="1:5" x14ac:dyDescent="0.3">
      <c r="A4521" s="4">
        <v>4518</v>
      </c>
      <c r="B4521" s="5">
        <v>74774.255960320719</v>
      </c>
      <c r="C4521" s="19">
        <v>-7.128476096413336</v>
      </c>
      <c r="D4521" s="5">
        <v>137738.85612055479</v>
      </c>
      <c r="E4521" s="6">
        <v>84.206254347280307</v>
      </c>
    </row>
    <row r="4522" spans="1:5" x14ac:dyDescent="0.3">
      <c r="A4522" s="4">
        <v>4519</v>
      </c>
      <c r="B4522" s="5">
        <v>36918.985670624199</v>
      </c>
      <c r="C4522" s="19">
        <v>-54.145682679543953</v>
      </c>
      <c r="D4522" s="5">
        <v>76606.586649830017</v>
      </c>
      <c r="E4522" s="6">
        <v>107.49916407043804</v>
      </c>
    </row>
    <row r="4523" spans="1:5" x14ac:dyDescent="0.3">
      <c r="A4523" s="4">
        <v>4520</v>
      </c>
      <c r="B4523" s="5">
        <v>49458.437462676935</v>
      </c>
      <c r="C4523" s="19">
        <v>-38.571365263915283</v>
      </c>
      <c r="D4523" s="5">
        <v>91564.339586428614</v>
      </c>
      <c r="E4523" s="6">
        <v>85.133910984402334</v>
      </c>
    </row>
    <row r="4524" spans="1:5" x14ac:dyDescent="0.3">
      <c r="A4524" s="4">
        <v>4521</v>
      </c>
      <c r="B4524" s="5">
        <v>137075.56846216851</v>
      </c>
      <c r="C4524" s="19">
        <v>70.251335430037088</v>
      </c>
      <c r="D4524" s="5">
        <v>211318.12321898239</v>
      </c>
      <c r="E4524" s="6">
        <v>54.16177046699908</v>
      </c>
    </row>
    <row r="4525" spans="1:5" x14ac:dyDescent="0.3">
      <c r="A4525" s="4">
        <v>4522</v>
      </c>
      <c r="B4525" s="5">
        <v>156920.13867159581</v>
      </c>
      <c r="C4525" s="19">
        <v>94.898795346445013</v>
      </c>
      <c r="D4525" s="5">
        <v>300145.06149045576</v>
      </c>
      <c r="E4525" s="6">
        <v>91.27249314927171</v>
      </c>
    </row>
    <row r="4526" spans="1:5" x14ac:dyDescent="0.3">
      <c r="A4526" s="4">
        <v>4523</v>
      </c>
      <c r="B4526" s="5">
        <v>59037.302578758914</v>
      </c>
      <c r="C4526" s="19">
        <v>-26.67417164864866</v>
      </c>
      <c r="D4526" s="5">
        <v>103182.59547211406</v>
      </c>
      <c r="E4526" s="6">
        <v>74.775253890475383</v>
      </c>
    </row>
    <row r="4527" spans="1:5" x14ac:dyDescent="0.3">
      <c r="A4527" s="4">
        <v>4524</v>
      </c>
      <c r="B4527" s="5">
        <v>91610.280724491415</v>
      </c>
      <c r="C4527" s="19">
        <v>13.782294010838283</v>
      </c>
      <c r="D4527" s="5">
        <v>173613.54078509338</v>
      </c>
      <c r="E4527" s="6">
        <v>89.513163164752669</v>
      </c>
    </row>
    <row r="4528" spans="1:5" x14ac:dyDescent="0.3">
      <c r="A4528" s="4">
        <v>4525</v>
      </c>
      <c r="B4528" s="5">
        <v>80554.192502122183</v>
      </c>
      <c r="C4528" s="19">
        <v>5.0351801091648052E-2</v>
      </c>
      <c r="D4528" s="5">
        <v>154105.82252018331</v>
      </c>
      <c r="E4528" s="6">
        <v>91.307016721846509</v>
      </c>
    </row>
    <row r="4529" spans="1:5" x14ac:dyDescent="0.3">
      <c r="A4529" s="4">
        <v>4526</v>
      </c>
      <c r="B4529" s="5">
        <v>73938.599614546067</v>
      </c>
      <c r="C4529" s="19">
        <v>-8.166382489396744</v>
      </c>
      <c r="D4529" s="5">
        <v>113802.20600432827</v>
      </c>
      <c r="E4529" s="6">
        <v>53.914473086584891</v>
      </c>
    </row>
    <row r="4530" spans="1:5" x14ac:dyDescent="0.3">
      <c r="A4530" s="4">
        <v>4527</v>
      </c>
      <c r="B4530" s="5">
        <v>111151.49211691743</v>
      </c>
      <c r="C4530" s="19">
        <v>38.052974576349712</v>
      </c>
      <c r="D4530" s="5">
        <v>171738.40266860049</v>
      </c>
      <c r="E4530" s="6">
        <v>54.508409556889461</v>
      </c>
    </row>
    <row r="4531" spans="1:5" x14ac:dyDescent="0.3">
      <c r="A4531" s="4">
        <v>4528</v>
      </c>
      <c r="B4531" s="5">
        <v>33412.407092300011</v>
      </c>
      <c r="C4531" s="19">
        <v>-58.500942281584699</v>
      </c>
      <c r="D4531" s="5">
        <v>68063.418215731086</v>
      </c>
      <c r="E4531" s="6">
        <v>103.70701825734821</v>
      </c>
    </row>
    <row r="4532" spans="1:5" x14ac:dyDescent="0.3">
      <c r="A4532" s="4">
        <v>4529</v>
      </c>
      <c r="B4532" s="5">
        <v>49908.987168813524</v>
      </c>
      <c r="C4532" s="19">
        <v>-38.011771092554717</v>
      </c>
      <c r="D4532" s="5">
        <v>95759.535576899696</v>
      </c>
      <c r="E4532" s="6">
        <v>91.868320735502053</v>
      </c>
    </row>
    <row r="4533" spans="1:5" x14ac:dyDescent="0.3">
      <c r="A4533" s="4">
        <v>4530</v>
      </c>
      <c r="B4533" s="5">
        <v>55479.444811723413</v>
      </c>
      <c r="C4533" s="19">
        <v>-31.093121304692573</v>
      </c>
      <c r="D4533" s="5">
        <v>96986.564912691509</v>
      </c>
      <c r="E4533" s="6">
        <v>74.815312665488648</v>
      </c>
    </row>
    <row r="4534" spans="1:5" x14ac:dyDescent="0.3">
      <c r="A4534" s="4">
        <v>4531</v>
      </c>
      <c r="B4534" s="5">
        <v>79546.126691944271</v>
      </c>
      <c r="C4534" s="19">
        <v>-1.2016915229637135</v>
      </c>
      <c r="D4534" s="5">
        <v>127392.5042552458</v>
      </c>
      <c r="E4534" s="6">
        <v>60.149223542454379</v>
      </c>
    </row>
    <row r="4535" spans="1:5" x14ac:dyDescent="0.3">
      <c r="A4535" s="4">
        <v>4532</v>
      </c>
      <c r="B4535" s="5">
        <v>96147.672606650565</v>
      </c>
      <c r="C4535" s="19">
        <v>19.417849901457888</v>
      </c>
      <c r="D4535" s="5">
        <v>174544.57450680691</v>
      </c>
      <c r="E4535" s="6">
        <v>81.538013115393511</v>
      </c>
    </row>
    <row r="4536" spans="1:5" x14ac:dyDescent="0.3">
      <c r="A4536" s="4">
        <v>4533</v>
      </c>
      <c r="B4536" s="5">
        <v>74543.291301554316</v>
      </c>
      <c r="C4536" s="19">
        <v>-7.4153400651954566</v>
      </c>
      <c r="D4536" s="5">
        <v>133633.24303519173</v>
      </c>
      <c r="E4536" s="6">
        <v>79.269308749190301</v>
      </c>
    </row>
    <row r="4537" spans="1:5" x14ac:dyDescent="0.3">
      <c r="A4537" s="4">
        <v>4534</v>
      </c>
      <c r="B4537" s="5">
        <v>105471.67570790315</v>
      </c>
      <c r="C4537" s="19">
        <v>30.998498425123678</v>
      </c>
      <c r="D4537" s="5">
        <v>158608.06876085457</v>
      </c>
      <c r="E4537" s="6">
        <v>50.379775135183358</v>
      </c>
    </row>
    <row r="4538" spans="1:5" x14ac:dyDescent="0.3">
      <c r="A4538" s="4">
        <v>4535</v>
      </c>
      <c r="B4538" s="5">
        <v>53836.924627223714</v>
      </c>
      <c r="C4538" s="19">
        <v>-33.133173066061289</v>
      </c>
      <c r="D4538" s="5">
        <v>97008.400097977399</v>
      </c>
      <c r="E4538" s="6">
        <v>80.189341738371084</v>
      </c>
    </row>
    <row r="4539" spans="1:5" x14ac:dyDescent="0.3">
      <c r="A4539" s="4">
        <v>4536</v>
      </c>
      <c r="B4539" s="5">
        <v>29217.456459309535</v>
      </c>
      <c r="C4539" s="19">
        <v>-63.711177448523429</v>
      </c>
      <c r="D4539" s="5">
        <v>62822.413199730145</v>
      </c>
      <c r="E4539" s="6">
        <v>115.01670854621257</v>
      </c>
    </row>
    <row r="4540" spans="1:5" x14ac:dyDescent="0.3">
      <c r="A4540" s="4">
        <v>4537</v>
      </c>
      <c r="B4540" s="5">
        <v>86768.859614092202</v>
      </c>
      <c r="C4540" s="19">
        <v>7.7691261015465116</v>
      </c>
      <c r="D4540" s="5">
        <v>144378.83106912003</v>
      </c>
      <c r="E4540" s="6">
        <v>66.394754651899731</v>
      </c>
    </row>
    <row r="4541" spans="1:5" x14ac:dyDescent="0.3">
      <c r="A4541" s="4">
        <v>4538</v>
      </c>
      <c r="B4541" s="5">
        <v>84413.278490216529</v>
      </c>
      <c r="C4541" s="19">
        <v>4.8434345537904715</v>
      </c>
      <c r="D4541" s="5">
        <v>136752.29915555986</v>
      </c>
      <c r="E4541" s="6">
        <v>62.003302799581938</v>
      </c>
    </row>
    <row r="4542" spans="1:5" x14ac:dyDescent="0.3">
      <c r="A4542" s="4">
        <v>4539</v>
      </c>
      <c r="B4542" s="5">
        <v>75276.617714796696</v>
      </c>
      <c r="C4542" s="19">
        <v>-6.5045300458659234</v>
      </c>
      <c r="D4542" s="5">
        <v>156463.87788796952</v>
      </c>
      <c r="E4542" s="6">
        <v>107.85189696058077</v>
      </c>
    </row>
    <row r="4543" spans="1:5" x14ac:dyDescent="0.3">
      <c r="A4543" s="4">
        <v>4540</v>
      </c>
      <c r="B4543" s="5">
        <v>71267.836708225921</v>
      </c>
      <c r="C4543" s="19">
        <v>-11.483537811232996</v>
      </c>
      <c r="D4543" s="5">
        <v>134262.97477122428</v>
      </c>
      <c r="E4543" s="6">
        <v>88.392100802643412</v>
      </c>
    </row>
    <row r="4544" spans="1:5" x14ac:dyDescent="0.3">
      <c r="A4544" s="4">
        <v>4541</v>
      </c>
      <c r="B4544" s="5">
        <v>36013.507879607423</v>
      </c>
      <c r="C4544" s="19">
        <v>-55.270309079801351</v>
      </c>
      <c r="D4544" s="5">
        <v>69079.389315860011</v>
      </c>
      <c r="E4544" s="6">
        <v>91.815219852482286</v>
      </c>
    </row>
    <row r="4545" spans="1:5" x14ac:dyDescent="0.3">
      <c r="A4545" s="4">
        <v>4542</v>
      </c>
      <c r="B4545" s="5">
        <v>73249.900192591405</v>
      </c>
      <c r="C4545" s="19">
        <v>-9.0217646527764703</v>
      </c>
      <c r="D4545" s="5">
        <v>130606.46018984476</v>
      </c>
      <c r="E4545" s="6">
        <v>78.302577677852554</v>
      </c>
    </row>
    <row r="4546" spans="1:5" x14ac:dyDescent="0.3">
      <c r="A4546" s="4">
        <v>4543</v>
      </c>
      <c r="B4546" s="5">
        <v>67383.219514791592</v>
      </c>
      <c r="C4546" s="19">
        <v>-16.308330969024688</v>
      </c>
      <c r="D4546" s="5">
        <v>125400.19327009369</v>
      </c>
      <c r="E4546" s="6">
        <v>86.100032282616795</v>
      </c>
    </row>
    <row r="4547" spans="1:5" x14ac:dyDescent="0.3">
      <c r="A4547" s="4">
        <v>4544</v>
      </c>
      <c r="B4547" s="5">
        <v>73805.834573312866</v>
      </c>
      <c r="C4547" s="19">
        <v>-8.3312800405939473</v>
      </c>
      <c r="D4547" s="5">
        <v>153954.67950065236</v>
      </c>
      <c r="E4547" s="6">
        <v>108.59418552841645</v>
      </c>
    </row>
    <row r="4548" spans="1:5" x14ac:dyDescent="0.3">
      <c r="A4548" s="4">
        <v>4545</v>
      </c>
      <c r="B4548" s="5">
        <v>147488.51575289527</v>
      </c>
      <c r="C4548" s="19">
        <v>83.184480277786506</v>
      </c>
      <c r="D4548" s="5">
        <v>244258.66400571534</v>
      </c>
      <c r="E4548" s="6">
        <v>65.611988675071089</v>
      </c>
    </row>
    <row r="4549" spans="1:5" x14ac:dyDescent="0.3">
      <c r="A4549" s="4">
        <v>4546</v>
      </c>
      <c r="B4549" s="5">
        <v>50432.444652725033</v>
      </c>
      <c r="C4549" s="19">
        <v>-37.361623610573801</v>
      </c>
      <c r="D4549" s="5">
        <v>88969.815539921139</v>
      </c>
      <c r="E4549" s="6">
        <v>76.413846587374991</v>
      </c>
    </row>
    <row r="4550" spans="1:5" x14ac:dyDescent="0.3">
      <c r="A4550" s="4">
        <v>4547</v>
      </c>
      <c r="B4550" s="5">
        <v>52660.156379485561</v>
      </c>
      <c r="C4550" s="19">
        <v>-34.59474909975382</v>
      </c>
      <c r="D4550" s="5">
        <v>102763.98461461868</v>
      </c>
      <c r="E4550" s="6">
        <v>95.14561231848468</v>
      </c>
    </row>
    <row r="4551" spans="1:5" x14ac:dyDescent="0.3">
      <c r="A4551" s="4">
        <v>4548</v>
      </c>
      <c r="B4551" s="5">
        <v>54809.887771302179</v>
      </c>
      <c r="C4551" s="19">
        <v>-31.924728144315196</v>
      </c>
      <c r="D4551" s="5">
        <v>113310.65258751997</v>
      </c>
      <c r="E4551" s="6">
        <v>106.73396205501466</v>
      </c>
    </row>
    <row r="4552" spans="1:5" x14ac:dyDescent="0.3">
      <c r="A4552" s="4">
        <v>4549</v>
      </c>
      <c r="B4552" s="5">
        <v>76711.259745196818</v>
      </c>
      <c r="C4552" s="19">
        <v>-4.7226682284765538</v>
      </c>
      <c r="D4552" s="5">
        <v>144688.65608699995</v>
      </c>
      <c r="E4552" s="6">
        <v>88.614626545823938</v>
      </c>
    </row>
    <row r="4553" spans="1:5" x14ac:dyDescent="0.3">
      <c r="A4553" s="4">
        <v>4550</v>
      </c>
      <c r="B4553" s="5">
        <v>34440.537694934894</v>
      </c>
      <c r="C4553" s="19">
        <v>-57.223977975991559</v>
      </c>
      <c r="D4553" s="5">
        <v>77805.745905203628</v>
      </c>
      <c r="E4553" s="6">
        <v>125.91327288321162</v>
      </c>
    </row>
    <row r="4554" spans="1:5" x14ac:dyDescent="0.3">
      <c r="A4554" s="4">
        <v>4551</v>
      </c>
      <c r="B4554" s="5">
        <v>57317.16145419945</v>
      </c>
      <c r="C4554" s="19">
        <v>-28.810630587830076</v>
      </c>
      <c r="D4554" s="5">
        <v>103439.72214384451</v>
      </c>
      <c r="E4554" s="6">
        <v>80.469024493650693</v>
      </c>
    </row>
    <row r="4555" spans="1:5" x14ac:dyDescent="0.3">
      <c r="A4555" s="4">
        <v>4552</v>
      </c>
      <c r="B4555" s="5">
        <v>64362.190431019269</v>
      </c>
      <c r="C4555" s="19">
        <v>-20.060525774090703</v>
      </c>
      <c r="D4555" s="5">
        <v>113191.98223762536</v>
      </c>
      <c r="E4555" s="6">
        <v>75.867200105533755</v>
      </c>
    </row>
    <row r="4556" spans="1:5" x14ac:dyDescent="0.3">
      <c r="A4556" s="4">
        <v>4553</v>
      </c>
      <c r="B4556" s="5">
        <v>49844.39711505243</v>
      </c>
      <c r="C4556" s="19">
        <v>-38.091993578820457</v>
      </c>
      <c r="D4556" s="5">
        <v>90814.253354769302</v>
      </c>
      <c r="E4556" s="6">
        <v>82.195509648053203</v>
      </c>
    </row>
    <row r="4557" spans="1:5" x14ac:dyDescent="0.3">
      <c r="A4557" s="4">
        <v>4554</v>
      </c>
      <c r="B4557" s="5">
        <v>60417.034334080505</v>
      </c>
      <c r="C4557" s="19">
        <v>-24.96050978669869</v>
      </c>
      <c r="D4557" s="5">
        <v>116804.33191785873</v>
      </c>
      <c r="E4557" s="6">
        <v>93.33013148573373</v>
      </c>
    </row>
    <row r="4558" spans="1:5" x14ac:dyDescent="0.3">
      <c r="A4558" s="4">
        <v>4555</v>
      </c>
      <c r="B4558" s="5">
        <v>44582.164137539316</v>
      </c>
      <c r="C4558" s="19">
        <v>-44.627820508568682</v>
      </c>
      <c r="D4558" s="5">
        <v>96010.526614401111</v>
      </c>
      <c r="E4558" s="6">
        <v>115.35636161179042</v>
      </c>
    </row>
    <row r="4559" spans="1:5" x14ac:dyDescent="0.3">
      <c r="A4559" s="4">
        <v>4556</v>
      </c>
      <c r="B4559" s="5">
        <v>91606.169269074089</v>
      </c>
      <c r="C4559" s="19">
        <v>13.777187478848568</v>
      </c>
      <c r="D4559" s="5">
        <v>135709.00555172903</v>
      </c>
      <c r="E4559" s="6">
        <v>48.143958681551261</v>
      </c>
    </row>
    <row r="4560" spans="1:5" x14ac:dyDescent="0.3">
      <c r="A4560" s="4">
        <v>4557</v>
      </c>
      <c r="B4560" s="5">
        <v>183993.35883044507</v>
      </c>
      <c r="C4560" s="19">
        <v>128.52442198542988</v>
      </c>
      <c r="D4560" s="5">
        <v>237215.63166207718</v>
      </c>
      <c r="E4560" s="6">
        <v>28.926192320168415</v>
      </c>
    </row>
    <row r="4561" spans="1:5" x14ac:dyDescent="0.3">
      <c r="A4561" s="4">
        <v>4558</v>
      </c>
      <c r="B4561" s="5">
        <v>61891.632774574638</v>
      </c>
      <c r="C4561" s="19">
        <v>-23.129021093755831</v>
      </c>
      <c r="D4561" s="5">
        <v>124187.17401304003</v>
      </c>
      <c r="E4561" s="6">
        <v>100.65260592714024</v>
      </c>
    </row>
    <row r="4562" spans="1:5" x14ac:dyDescent="0.3">
      <c r="A4562" s="4">
        <v>4559</v>
      </c>
      <c r="B4562" s="5">
        <v>91930.956986411489</v>
      </c>
      <c r="C4562" s="19">
        <v>14.180582067894001</v>
      </c>
      <c r="D4562" s="5">
        <v>155109.04839451416</v>
      </c>
      <c r="E4562" s="6">
        <v>68.723413177827751</v>
      </c>
    </row>
    <row r="4563" spans="1:5" x14ac:dyDescent="0.3">
      <c r="A4563" s="4">
        <v>4560</v>
      </c>
      <c r="B4563" s="5">
        <v>56743.782053386829</v>
      </c>
      <c r="C4563" s="19">
        <v>-29.522782357774151</v>
      </c>
      <c r="D4563" s="5">
        <v>97620.930906142632</v>
      </c>
      <c r="E4563" s="6">
        <v>72.038111267058184</v>
      </c>
    </row>
    <row r="4564" spans="1:5" x14ac:dyDescent="0.3">
      <c r="A4564" s="4">
        <v>4561</v>
      </c>
      <c r="B4564" s="5">
        <v>62174.761624567822</v>
      </c>
      <c r="C4564" s="19">
        <v>-22.777367875382247</v>
      </c>
      <c r="D4564" s="5">
        <v>129709.69600864314</v>
      </c>
      <c r="E4564" s="6">
        <v>108.62113922024183</v>
      </c>
    </row>
    <row r="4565" spans="1:5" x14ac:dyDescent="0.3">
      <c r="A4565" s="4">
        <v>4562</v>
      </c>
      <c r="B4565" s="5">
        <v>58567.447200517876</v>
      </c>
      <c r="C4565" s="19">
        <v>-27.25774395480035</v>
      </c>
      <c r="D4565" s="5">
        <v>102689.3260289577</v>
      </c>
      <c r="E4565" s="6">
        <v>75.335157903296292</v>
      </c>
    </row>
    <row r="4566" spans="1:5" x14ac:dyDescent="0.3">
      <c r="A4566" s="4">
        <v>4563</v>
      </c>
      <c r="B4566" s="5">
        <v>78930.656247944178</v>
      </c>
      <c r="C4566" s="19">
        <v>-1.966121436946914</v>
      </c>
      <c r="D4566" s="5">
        <v>137865.2867943671</v>
      </c>
      <c r="E4566" s="6">
        <v>74.666337957829825</v>
      </c>
    </row>
    <row r="4567" spans="1:5" x14ac:dyDescent="0.3">
      <c r="A4567" s="4">
        <v>4564</v>
      </c>
      <c r="B4567" s="5">
        <v>62627.344458895561</v>
      </c>
      <c r="C4567" s="19">
        <v>-22.215248507201224</v>
      </c>
      <c r="D4567" s="5">
        <v>115121.39654723975</v>
      </c>
      <c r="E4567" s="6">
        <v>83.819699752394598</v>
      </c>
    </row>
    <row r="4568" spans="1:5" x14ac:dyDescent="0.3">
      <c r="A4568" s="4">
        <v>4565</v>
      </c>
      <c r="B4568" s="5">
        <v>84307.88950727944</v>
      </c>
      <c r="C4568" s="19">
        <v>4.7125387618856953</v>
      </c>
      <c r="D4568" s="5">
        <v>130746.19360095143</v>
      </c>
      <c r="E4568" s="6">
        <v>55.081801199236921</v>
      </c>
    </row>
    <row r="4569" spans="1:5" x14ac:dyDescent="0.3">
      <c r="A4569" s="4">
        <v>4566</v>
      </c>
      <c r="B4569" s="5">
        <v>83255.932820921473</v>
      </c>
      <c r="C4569" s="19">
        <v>3.4059818555291144</v>
      </c>
      <c r="D4569" s="5">
        <v>141847.25134534069</v>
      </c>
      <c r="E4569" s="6">
        <v>70.374946912727083</v>
      </c>
    </row>
    <row r="4570" spans="1:5" x14ac:dyDescent="0.3">
      <c r="A4570" s="4">
        <v>4567</v>
      </c>
      <c r="B4570" s="5">
        <v>49454.273338936975</v>
      </c>
      <c r="C4570" s="19">
        <v>-38.576537211298593</v>
      </c>
      <c r="D4570" s="5">
        <v>85385.058422032263</v>
      </c>
      <c r="E4570" s="6">
        <v>72.654560783538599</v>
      </c>
    </row>
    <row r="4571" spans="1:5" x14ac:dyDescent="0.3">
      <c r="A4571" s="4">
        <v>4568</v>
      </c>
      <c r="B4571" s="5">
        <v>67249.333901004939</v>
      </c>
      <c r="C4571" s="19">
        <v>-16.474620299776863</v>
      </c>
      <c r="D4571" s="5">
        <v>122232.12132115511</v>
      </c>
      <c r="E4571" s="6">
        <v>81.75960151677954</v>
      </c>
    </row>
    <row r="4572" spans="1:5" x14ac:dyDescent="0.3">
      <c r="A4572" s="4">
        <v>4569</v>
      </c>
      <c r="B4572" s="5">
        <v>102850.8768288718</v>
      </c>
      <c r="C4572" s="19">
        <v>27.743399693420972</v>
      </c>
      <c r="D4572" s="5">
        <v>202046.76889404043</v>
      </c>
      <c r="E4572" s="6">
        <v>96.446326102027797</v>
      </c>
    </row>
    <row r="4573" spans="1:5" x14ac:dyDescent="0.3">
      <c r="A4573" s="4">
        <v>4570</v>
      </c>
      <c r="B4573" s="5">
        <v>77230.851228701926</v>
      </c>
      <c r="C4573" s="19">
        <v>-4.0773224171313824</v>
      </c>
      <c r="D4573" s="5">
        <v>134998.28411262168</v>
      </c>
      <c r="E4573" s="6">
        <v>74.798389458189959</v>
      </c>
    </row>
    <row r="4574" spans="1:5" x14ac:dyDescent="0.3">
      <c r="A4574" s="4">
        <v>4571</v>
      </c>
      <c r="B4574" s="5">
        <v>135659.95552136039</v>
      </c>
      <c r="C4574" s="19">
        <v>68.493108224937885</v>
      </c>
      <c r="D4574" s="5">
        <v>274889.65995474666</v>
      </c>
      <c r="E4574" s="6">
        <v>102.63139472389389</v>
      </c>
    </row>
    <row r="4575" spans="1:5" x14ac:dyDescent="0.3">
      <c r="A4575" s="4">
        <v>4572</v>
      </c>
      <c r="B4575" s="5">
        <v>78448.518288799867</v>
      </c>
      <c r="C4575" s="19">
        <v>-2.5649490203501966</v>
      </c>
      <c r="D4575" s="5">
        <v>124480.62124938609</v>
      </c>
      <c r="E4575" s="6">
        <v>58.678103761149373</v>
      </c>
    </row>
    <row r="4576" spans="1:5" x14ac:dyDescent="0.3">
      <c r="A4576" s="4">
        <v>4573</v>
      </c>
      <c r="B4576" s="5">
        <v>142023.95707673809</v>
      </c>
      <c r="C4576" s="19">
        <v>76.397359694673099</v>
      </c>
      <c r="D4576" s="5">
        <v>261365.11652406628</v>
      </c>
      <c r="E4576" s="6">
        <v>84.028893366804311</v>
      </c>
    </row>
    <row r="4577" spans="1:5" x14ac:dyDescent="0.3">
      <c r="A4577" s="4">
        <v>4574</v>
      </c>
      <c r="B4577" s="5">
        <v>95855.598553376039</v>
      </c>
      <c r="C4577" s="19">
        <v>19.055086513552073</v>
      </c>
      <c r="D4577" s="5">
        <v>183932.50214126261</v>
      </c>
      <c r="E4577" s="6">
        <v>91.884986288872838</v>
      </c>
    </row>
    <row r="4578" spans="1:5" x14ac:dyDescent="0.3">
      <c r="A4578" s="4">
        <v>4575</v>
      </c>
      <c r="B4578" s="5">
        <v>55140.823139559558</v>
      </c>
      <c r="C4578" s="19">
        <v>-31.51369801678084</v>
      </c>
      <c r="D4578" s="5">
        <v>116764.2572265963</v>
      </c>
      <c r="E4578" s="6">
        <v>111.75646386538321</v>
      </c>
    </row>
    <row r="4579" spans="1:5" x14ac:dyDescent="0.3">
      <c r="A4579" s="4">
        <v>4576</v>
      </c>
      <c r="B4579" s="5">
        <v>99759.659454563938</v>
      </c>
      <c r="C4579" s="19">
        <v>23.904029249914878</v>
      </c>
      <c r="D4579" s="5">
        <v>193251.94465971459</v>
      </c>
      <c r="E4579" s="6">
        <v>93.717526419316016</v>
      </c>
    </row>
    <row r="4580" spans="1:5" x14ac:dyDescent="0.3">
      <c r="A4580" s="4">
        <v>4577</v>
      </c>
      <c r="B4580" s="5">
        <v>58297.091346093897</v>
      </c>
      <c r="C4580" s="19">
        <v>-27.593532788459026</v>
      </c>
      <c r="D4580" s="5">
        <v>111591.72011798758</v>
      </c>
      <c r="E4580" s="6">
        <v>91.419018584474557</v>
      </c>
    </row>
    <row r="4581" spans="1:5" x14ac:dyDescent="0.3">
      <c r="A4581" s="4">
        <v>4578</v>
      </c>
      <c r="B4581" s="5">
        <v>82214.893857557516</v>
      </c>
      <c r="C4581" s="19">
        <v>2.112985038256523</v>
      </c>
      <c r="D4581" s="5">
        <v>157098.44463275358</v>
      </c>
      <c r="E4581" s="6">
        <v>91.082706869313171</v>
      </c>
    </row>
    <row r="4582" spans="1:5" x14ac:dyDescent="0.3">
      <c r="A4582" s="4">
        <v>4579</v>
      </c>
      <c r="B4582" s="5">
        <v>68057.301142512515</v>
      </c>
      <c r="C4582" s="19">
        <v>-15.471104477127891</v>
      </c>
      <c r="D4582" s="5">
        <v>114069.75010824404</v>
      </c>
      <c r="E4582" s="6">
        <v>67.608394974965435</v>
      </c>
    </row>
    <row r="4583" spans="1:5" x14ac:dyDescent="0.3">
      <c r="A4583" s="4">
        <v>4580</v>
      </c>
      <c r="B4583" s="5">
        <v>64597.146704762803</v>
      </c>
      <c r="C4583" s="19">
        <v>-19.768704118187504</v>
      </c>
      <c r="D4583" s="5">
        <v>115210.75313231035</v>
      </c>
      <c r="E4583" s="6">
        <v>78.352696689334977</v>
      </c>
    </row>
    <row r="4584" spans="1:5" x14ac:dyDescent="0.3">
      <c r="A4584" s="4">
        <v>4581</v>
      </c>
      <c r="B4584" s="5">
        <v>79759.286500445553</v>
      </c>
      <c r="C4584" s="19">
        <v>-0.93694163015280063</v>
      </c>
      <c r="D4584" s="5">
        <v>156828.11381366136</v>
      </c>
      <c r="E4584" s="6">
        <v>96.626776259821838</v>
      </c>
    </row>
    <row r="4585" spans="1:5" x14ac:dyDescent="0.3">
      <c r="A4585" s="4">
        <v>4582</v>
      </c>
      <c r="B4585" s="5">
        <v>37717.887465505017</v>
      </c>
      <c r="C4585" s="19">
        <v>-53.15342637171436</v>
      </c>
      <c r="D4585" s="5">
        <v>77160.694884596494</v>
      </c>
      <c r="E4585" s="6">
        <v>104.57321464560812</v>
      </c>
    </row>
    <row r="4586" spans="1:5" x14ac:dyDescent="0.3">
      <c r="A4586" s="4">
        <v>4583</v>
      </c>
      <c r="B4586" s="5">
        <v>51563.949653161901</v>
      </c>
      <c r="C4586" s="19">
        <v>-35.956265678950068</v>
      </c>
      <c r="D4586" s="5">
        <v>97806.650868444427</v>
      </c>
      <c r="E4586" s="6">
        <v>89.68029316281617</v>
      </c>
    </row>
    <row r="4587" spans="1:5" x14ac:dyDescent="0.3">
      <c r="A4587" s="4">
        <v>4584</v>
      </c>
      <c r="B4587" s="5">
        <v>39762.813564904944</v>
      </c>
      <c r="C4587" s="19">
        <v>-50.613576249738315</v>
      </c>
      <c r="D4587" s="5">
        <v>77110.904139957231</v>
      </c>
      <c r="E4587" s="6">
        <v>93.927182778675615</v>
      </c>
    </row>
    <row r="4588" spans="1:5" x14ac:dyDescent="0.3">
      <c r="A4588" s="4">
        <v>4585</v>
      </c>
      <c r="B4588" s="5">
        <v>56855.290651117277</v>
      </c>
      <c r="C4588" s="19">
        <v>-29.384285848961355</v>
      </c>
      <c r="D4588" s="5">
        <v>111720.48980222744</v>
      </c>
      <c r="E4588" s="6">
        <v>96.49972504367453</v>
      </c>
    </row>
    <row r="4589" spans="1:5" x14ac:dyDescent="0.3">
      <c r="A4589" s="4">
        <v>4586</v>
      </c>
      <c r="B4589" s="5">
        <v>74660.933842261133</v>
      </c>
      <c r="C4589" s="19">
        <v>-7.2692250435076513</v>
      </c>
      <c r="D4589" s="5">
        <v>151814.19075819245</v>
      </c>
      <c r="E4589" s="6">
        <v>103.3381889904241</v>
      </c>
    </row>
    <row r="4590" spans="1:5" x14ac:dyDescent="0.3">
      <c r="A4590" s="4">
        <v>4587</v>
      </c>
      <c r="B4590" s="5">
        <v>67360.424147492318</v>
      </c>
      <c r="C4590" s="19">
        <v>-16.336643393827003</v>
      </c>
      <c r="D4590" s="5">
        <v>129632.55658110001</v>
      </c>
      <c r="E4590" s="6">
        <v>92.446170316945583</v>
      </c>
    </row>
    <row r="4591" spans="1:5" x14ac:dyDescent="0.3">
      <c r="A4591" s="4">
        <v>4588</v>
      </c>
      <c r="B4591" s="5">
        <v>75668.377375993572</v>
      </c>
      <c r="C4591" s="19">
        <v>-6.0179546025928587</v>
      </c>
      <c r="D4591" s="5">
        <v>149216.12410948143</v>
      </c>
      <c r="E4591" s="6">
        <v>97.197467798247644</v>
      </c>
    </row>
    <row r="4592" spans="1:5" x14ac:dyDescent="0.3">
      <c r="A4592" s="4">
        <v>4589</v>
      </c>
      <c r="B4592" s="5">
        <v>90560.837644595624</v>
      </c>
      <c r="C4592" s="19">
        <v>12.478859067510799</v>
      </c>
      <c r="D4592" s="5">
        <v>168405.16502674442</v>
      </c>
      <c r="E4592" s="6">
        <v>85.958046995598096</v>
      </c>
    </row>
    <row r="4593" spans="1:5" x14ac:dyDescent="0.3">
      <c r="A4593" s="4">
        <v>4590</v>
      </c>
      <c r="B4593" s="5">
        <v>52386.805818643472</v>
      </c>
      <c r="C4593" s="19">
        <v>-34.934257434798653</v>
      </c>
      <c r="D4593" s="5">
        <v>89223.814587189554</v>
      </c>
      <c r="E4593" s="6">
        <v>70.317340774833966</v>
      </c>
    </row>
    <row r="4594" spans="1:5" x14ac:dyDescent="0.3">
      <c r="A4594" s="4">
        <v>4591</v>
      </c>
      <c r="B4594" s="5">
        <v>40612.749432133249</v>
      </c>
      <c r="C4594" s="19">
        <v>-49.557934328651243</v>
      </c>
      <c r="D4594" s="5">
        <v>80351.41383638249</v>
      </c>
      <c r="E4594" s="6">
        <v>97.84775707110235</v>
      </c>
    </row>
    <row r="4595" spans="1:5" x14ac:dyDescent="0.3">
      <c r="A4595" s="4">
        <v>4592</v>
      </c>
      <c r="B4595" s="5">
        <v>35231.618924030321</v>
      </c>
      <c r="C4595" s="19">
        <v>-56.241435009377469</v>
      </c>
      <c r="D4595" s="5">
        <v>65577.166153318918</v>
      </c>
      <c r="E4595" s="6">
        <v>86.131572025465189</v>
      </c>
    </row>
    <row r="4596" spans="1:5" x14ac:dyDescent="0.3">
      <c r="A4596" s="4">
        <v>4593</v>
      </c>
      <c r="B4596" s="5">
        <v>102370.11702985894</v>
      </c>
      <c r="C4596" s="19">
        <v>27.146283819882903</v>
      </c>
      <c r="D4596" s="5">
        <v>176976.46767293641</v>
      </c>
      <c r="E4596" s="6">
        <v>72.879032287631901</v>
      </c>
    </row>
    <row r="4597" spans="1:5" x14ac:dyDescent="0.3">
      <c r="A4597" s="4">
        <v>4594</v>
      </c>
      <c r="B4597" s="5">
        <v>68411.632032361013</v>
      </c>
      <c r="C4597" s="19">
        <v>-15.031016517926984</v>
      </c>
      <c r="D4597" s="5">
        <v>142295.27378868996</v>
      </c>
      <c r="E4597" s="6">
        <v>107.99865397361006</v>
      </c>
    </row>
    <row r="4598" spans="1:5" x14ac:dyDescent="0.3">
      <c r="A4598" s="4">
        <v>4595</v>
      </c>
      <c r="B4598" s="5">
        <v>66206.753080558308</v>
      </c>
      <c r="C4598" s="19">
        <v>-17.769532142683214</v>
      </c>
      <c r="D4598" s="5">
        <v>127440.0252551258</v>
      </c>
      <c r="E4598" s="6">
        <v>92.487955269548962</v>
      </c>
    </row>
    <row r="4599" spans="1:5" x14ac:dyDescent="0.3">
      <c r="A4599" s="4">
        <v>4596</v>
      </c>
      <c r="B4599" s="5">
        <v>73899.190560652918</v>
      </c>
      <c r="C4599" s="19">
        <v>-8.215329534655174</v>
      </c>
      <c r="D4599" s="5">
        <v>146664.35559767607</v>
      </c>
      <c r="E4599" s="6">
        <v>98.465442564355271</v>
      </c>
    </row>
    <row r="4600" spans="1:5" x14ac:dyDescent="0.3">
      <c r="A4600" s="4">
        <v>4597</v>
      </c>
      <c r="B4600" s="5">
        <v>87274.831843131717</v>
      </c>
      <c r="C4600" s="19">
        <v>8.3975564531467999</v>
      </c>
      <c r="D4600" s="5">
        <v>182537.90784600304</v>
      </c>
      <c r="E4600" s="6">
        <v>109.15297571022278</v>
      </c>
    </row>
    <row r="4601" spans="1:5" x14ac:dyDescent="0.3">
      <c r="A4601" s="4">
        <v>4598</v>
      </c>
      <c r="B4601" s="5">
        <v>40602.16523600099</v>
      </c>
      <c r="C4601" s="19">
        <v>-49.571080168907002</v>
      </c>
      <c r="D4601" s="5">
        <v>87484.1572740587</v>
      </c>
      <c r="E4601" s="6">
        <v>115.46672884452119</v>
      </c>
    </row>
    <row r="4602" spans="1:5" x14ac:dyDescent="0.3">
      <c r="A4602" s="4">
        <v>4599</v>
      </c>
      <c r="B4602" s="5">
        <v>56261.360781169366</v>
      </c>
      <c r="C4602" s="19">
        <v>-30.121961823205645</v>
      </c>
      <c r="D4602" s="5">
        <v>94335.957309002726</v>
      </c>
      <c r="E4602" s="6">
        <v>67.674503423274643</v>
      </c>
    </row>
    <row r="4603" spans="1:5" x14ac:dyDescent="0.3">
      <c r="A4603" s="4">
        <v>4600</v>
      </c>
      <c r="B4603" s="5">
        <v>87376.129436093077</v>
      </c>
      <c r="C4603" s="19">
        <v>8.5233706348496447</v>
      </c>
      <c r="D4603" s="5">
        <v>149769.77852113015</v>
      </c>
      <c r="E4603" s="6">
        <v>71.408117397408645</v>
      </c>
    </row>
    <row r="4604" spans="1:5" x14ac:dyDescent="0.3">
      <c r="A4604" s="4">
        <v>4601</v>
      </c>
      <c r="B4604" s="5">
        <v>107949.13442943394</v>
      </c>
      <c r="C4604" s="19">
        <v>34.075565042796093</v>
      </c>
      <c r="D4604" s="5">
        <v>194216.30355434516</v>
      </c>
      <c r="E4604" s="6">
        <v>79.914646449809041</v>
      </c>
    </row>
    <row r="4605" spans="1:5" x14ac:dyDescent="0.3">
      <c r="A4605" s="4">
        <v>4602</v>
      </c>
      <c r="B4605" s="5">
        <v>98805.373853207202</v>
      </c>
      <c r="C4605" s="19">
        <v>22.71878231032272</v>
      </c>
      <c r="D4605" s="5">
        <v>192757.38846085421</v>
      </c>
      <c r="E4605" s="6">
        <v>95.087960243163778</v>
      </c>
    </row>
    <row r="4606" spans="1:5" x14ac:dyDescent="0.3">
      <c r="A4606" s="4">
        <v>4603</v>
      </c>
      <c r="B4606" s="5">
        <v>35876.497246839106</v>
      </c>
      <c r="C4606" s="19">
        <v>-55.440479763451357</v>
      </c>
      <c r="D4606" s="5">
        <v>70238.340459843486</v>
      </c>
      <c r="E4606" s="6">
        <v>95.778144049533225</v>
      </c>
    </row>
    <row r="4607" spans="1:5" x14ac:dyDescent="0.3">
      <c r="A4607" s="4">
        <v>4604</v>
      </c>
      <c r="B4607" s="5">
        <v>58703.500717808332</v>
      </c>
      <c r="C4607" s="19">
        <v>-27.088762032868384</v>
      </c>
      <c r="D4607" s="5">
        <v>106899.83059949552</v>
      </c>
      <c r="E4607" s="6">
        <v>82.101287474098299</v>
      </c>
    </row>
    <row r="4608" spans="1:5" x14ac:dyDescent="0.3">
      <c r="A4608" s="4">
        <v>4605</v>
      </c>
      <c r="B4608" s="5">
        <v>93719.999333506756</v>
      </c>
      <c r="C4608" s="19">
        <v>16.402618074390084</v>
      </c>
      <c r="D4608" s="5">
        <v>151681.5115843307</v>
      </c>
      <c r="E4608" s="6">
        <v>61.845404036512363</v>
      </c>
    </row>
    <row r="4609" spans="1:5" x14ac:dyDescent="0.3">
      <c r="A4609" s="4">
        <v>4606</v>
      </c>
      <c r="B4609" s="5">
        <v>107792.09115321648</v>
      </c>
      <c r="C4609" s="19">
        <v>33.880513307492073</v>
      </c>
      <c r="D4609" s="5">
        <v>206413.39115627401</v>
      </c>
      <c r="E4609" s="6">
        <v>91.492148401571029</v>
      </c>
    </row>
    <row r="4610" spans="1:5" x14ac:dyDescent="0.3">
      <c r="A4610" s="4">
        <v>4607</v>
      </c>
      <c r="B4610" s="5">
        <v>43781.70127401498</v>
      </c>
      <c r="C4610" s="19">
        <v>-45.622015703278244</v>
      </c>
      <c r="D4610" s="5">
        <v>75912.705392059579</v>
      </c>
      <c r="E4610" s="6">
        <v>73.389117332255822</v>
      </c>
    </row>
    <row r="4611" spans="1:5" x14ac:dyDescent="0.3">
      <c r="A4611" s="4">
        <v>4608</v>
      </c>
      <c r="B4611" s="5">
        <v>53419.153343744481</v>
      </c>
      <c r="C4611" s="19">
        <v>-33.65205560446411</v>
      </c>
      <c r="D4611" s="5">
        <v>97346.782099304852</v>
      </c>
      <c r="E4611" s="6">
        <v>82.231982362005013</v>
      </c>
    </row>
    <row r="4612" spans="1:5" x14ac:dyDescent="0.3">
      <c r="A4612" s="4">
        <v>4609</v>
      </c>
      <c r="B4612" s="5">
        <v>42067.200936114998</v>
      </c>
      <c r="C4612" s="19">
        <v>-47.751468642248057</v>
      </c>
      <c r="D4612" s="5">
        <v>87613.914422846283</v>
      </c>
      <c r="E4612" s="6">
        <v>108.27131939655415</v>
      </c>
    </row>
    <row r="4613" spans="1:5" x14ac:dyDescent="0.3">
      <c r="A4613" s="4">
        <v>4610</v>
      </c>
      <c r="B4613" s="5">
        <v>52316.713922239418</v>
      </c>
      <c r="C4613" s="19">
        <v>-35.021313349280653</v>
      </c>
      <c r="D4613" s="5">
        <v>89140.18594151568</v>
      </c>
      <c r="E4613" s="6">
        <v>70.38567459341688</v>
      </c>
    </row>
    <row r="4614" spans="1:5" x14ac:dyDescent="0.3">
      <c r="A4614" s="4">
        <v>4611</v>
      </c>
      <c r="B4614" s="5">
        <v>58860.763222823247</v>
      </c>
      <c r="C4614" s="19">
        <v>-26.893438009833226</v>
      </c>
      <c r="D4614" s="5">
        <v>99519.136768508673</v>
      </c>
      <c r="E4614" s="6">
        <v>69.075511970120274</v>
      </c>
    </row>
    <row r="4615" spans="1:5" x14ac:dyDescent="0.3">
      <c r="A4615" s="4">
        <v>4612</v>
      </c>
      <c r="B4615" s="5">
        <v>65537.936890742538</v>
      </c>
      <c r="C4615" s="19">
        <v>-18.600218827048781</v>
      </c>
      <c r="D4615" s="5">
        <v>107876.42992009094</v>
      </c>
      <c r="E4615" s="6">
        <v>64.60150416381029</v>
      </c>
    </row>
    <row r="4616" spans="1:5" x14ac:dyDescent="0.3">
      <c r="A4616" s="4">
        <v>4613</v>
      </c>
      <c r="B4616" s="5">
        <v>79766.754519161914</v>
      </c>
      <c r="C4616" s="19">
        <v>-0.92766616134576863</v>
      </c>
      <c r="D4616" s="5">
        <v>133605.73055154525</v>
      </c>
      <c r="E4616" s="6">
        <v>67.495507817670969</v>
      </c>
    </row>
    <row r="4617" spans="1:5" x14ac:dyDescent="0.3">
      <c r="A4617" s="4">
        <v>4614</v>
      </c>
      <c r="B4617" s="5">
        <v>153516.10699719601</v>
      </c>
      <c r="C4617" s="19">
        <v>90.670901602034547</v>
      </c>
      <c r="D4617" s="5">
        <v>290516.68924675882</v>
      </c>
      <c r="E4617" s="6">
        <v>89.241829361960782</v>
      </c>
    </row>
    <row r="4618" spans="1:5" x14ac:dyDescent="0.3">
      <c r="A4618" s="4">
        <v>4615</v>
      </c>
      <c r="B4618" s="5">
        <v>123579.94058394051</v>
      </c>
      <c r="C4618" s="19">
        <v>53.489423044685338</v>
      </c>
      <c r="D4618" s="5">
        <v>218186.35638705426</v>
      </c>
      <c r="E4618" s="6">
        <v>76.554831921814397</v>
      </c>
    </row>
    <row r="4619" spans="1:5" x14ac:dyDescent="0.3">
      <c r="A4619" s="4">
        <v>4616</v>
      </c>
      <c r="B4619" s="5">
        <v>93864.969131086691</v>
      </c>
      <c r="C4619" s="19">
        <v>16.582674242764227</v>
      </c>
      <c r="D4619" s="5">
        <v>182799.22171643932</v>
      </c>
      <c r="E4619" s="6">
        <v>94.747010954802434</v>
      </c>
    </row>
    <row r="4620" spans="1:5" x14ac:dyDescent="0.3">
      <c r="A4620" s="4">
        <v>4617</v>
      </c>
      <c r="B4620" s="5">
        <v>55908.771444210171</v>
      </c>
      <c r="C4620" s="19">
        <v>-30.559886729512066</v>
      </c>
      <c r="D4620" s="5">
        <v>106542.74450808958</v>
      </c>
      <c r="E4620" s="6">
        <v>90.565347361291359</v>
      </c>
    </row>
    <row r="4621" spans="1:5" x14ac:dyDescent="0.3">
      <c r="A4621" s="4">
        <v>4618</v>
      </c>
      <c r="B4621" s="5">
        <v>69727.66266113962</v>
      </c>
      <c r="C4621" s="19">
        <v>-13.396473072074148</v>
      </c>
      <c r="D4621" s="5">
        <v>151811.17810659608</v>
      </c>
      <c r="E4621" s="6">
        <v>117.72015913449363</v>
      </c>
    </row>
    <row r="4622" spans="1:5" x14ac:dyDescent="0.3">
      <c r="A4622" s="4">
        <v>4619</v>
      </c>
      <c r="B4622" s="5">
        <v>51632.270035747941</v>
      </c>
      <c r="C4622" s="19">
        <v>-35.871410029596511</v>
      </c>
      <c r="D4622" s="5">
        <v>90424.667704285152</v>
      </c>
      <c r="E4622" s="6">
        <v>75.132078527012354</v>
      </c>
    </row>
    <row r="4623" spans="1:5" x14ac:dyDescent="0.3">
      <c r="A4623" s="4">
        <v>4620</v>
      </c>
      <c r="B4623" s="5">
        <v>101632.2789141742</v>
      </c>
      <c r="C4623" s="19">
        <v>26.229870151599048</v>
      </c>
      <c r="D4623" s="5">
        <v>191534.13898136915</v>
      </c>
      <c r="E4623" s="6">
        <v>88.457979126016369</v>
      </c>
    </row>
    <row r="4624" spans="1:5" x14ac:dyDescent="0.3">
      <c r="A4624" s="4">
        <v>4621</v>
      </c>
      <c r="B4624" s="5">
        <v>81309.797759667868</v>
      </c>
      <c r="C4624" s="19">
        <v>0.98883271055155764</v>
      </c>
      <c r="D4624" s="5">
        <v>169662.17276419842</v>
      </c>
      <c r="E4624" s="6">
        <v>108.66141281728289</v>
      </c>
    </row>
    <row r="4625" spans="1:5" x14ac:dyDescent="0.3">
      <c r="A4625" s="4">
        <v>4622</v>
      </c>
      <c r="B4625" s="5">
        <v>70727.426772371415</v>
      </c>
      <c r="C4625" s="19">
        <v>-12.154740668832547</v>
      </c>
      <c r="D4625" s="5">
        <v>139868.92015628028</v>
      </c>
      <c r="E4625" s="6">
        <v>97.757682612196945</v>
      </c>
    </row>
    <row r="4626" spans="1:5" x14ac:dyDescent="0.3">
      <c r="A4626" s="4">
        <v>4623</v>
      </c>
      <c r="B4626" s="5">
        <v>101048.48322579129</v>
      </c>
      <c r="C4626" s="19">
        <v>25.504781088095235</v>
      </c>
      <c r="D4626" s="5">
        <v>161090.21455398281</v>
      </c>
      <c r="E4626" s="6">
        <v>59.418735849828821</v>
      </c>
    </row>
    <row r="4627" spans="1:5" x14ac:dyDescent="0.3">
      <c r="A4627" s="4">
        <v>4624</v>
      </c>
      <c r="B4627" s="5">
        <v>150459.8858835877</v>
      </c>
      <c r="C4627" s="19">
        <v>86.874997402630157</v>
      </c>
      <c r="D4627" s="5">
        <v>236610.05281882404</v>
      </c>
      <c r="E4627" s="6">
        <v>57.257897298879769</v>
      </c>
    </row>
    <row r="4628" spans="1:5" x14ac:dyDescent="0.3">
      <c r="A4628" s="4">
        <v>4625</v>
      </c>
      <c r="B4628" s="5">
        <v>75389.022233442316</v>
      </c>
      <c r="C4628" s="19">
        <v>-6.364920780535253</v>
      </c>
      <c r="D4628" s="5">
        <v>158716.75445670655</v>
      </c>
      <c r="E4628" s="6">
        <v>110.53032623932921</v>
      </c>
    </row>
    <row r="4629" spans="1:5" x14ac:dyDescent="0.3">
      <c r="A4629" s="4">
        <v>4626</v>
      </c>
      <c r="B4629" s="5">
        <v>45655.285650683698</v>
      </c>
      <c r="C4629" s="19">
        <v>-43.294976350114901</v>
      </c>
      <c r="D4629" s="5">
        <v>100723.84046212316</v>
      </c>
      <c r="E4629" s="6">
        <v>120.61813660038901</v>
      </c>
    </row>
    <row r="4630" spans="1:5" x14ac:dyDescent="0.3">
      <c r="A4630" s="4">
        <v>4627</v>
      </c>
      <c r="B4630" s="5">
        <v>116253.11428031531</v>
      </c>
      <c r="C4630" s="19">
        <v>44.389318798169782</v>
      </c>
      <c r="D4630" s="5">
        <v>204537.86330447544</v>
      </c>
      <c r="E4630" s="6">
        <v>75.94183568388847</v>
      </c>
    </row>
    <row r="4631" spans="1:5" x14ac:dyDescent="0.3">
      <c r="A4631" s="4">
        <v>4628</v>
      </c>
      <c r="B4631" s="5">
        <v>61764.066627594395</v>
      </c>
      <c r="C4631" s="19">
        <v>-23.287461486326919</v>
      </c>
      <c r="D4631" s="5">
        <v>131728.01820323904</v>
      </c>
      <c r="E4631" s="6">
        <v>113.27614160753265</v>
      </c>
    </row>
    <row r="4632" spans="1:5" x14ac:dyDescent="0.3">
      <c r="A4632" s="4">
        <v>4629</v>
      </c>
      <c r="B4632" s="5">
        <v>40882.385662410852</v>
      </c>
      <c r="C4632" s="19">
        <v>-49.223039286448653</v>
      </c>
      <c r="D4632" s="5">
        <v>84778.172446347409</v>
      </c>
      <c r="E4632" s="6">
        <v>107.37090331862989</v>
      </c>
    </row>
    <row r="4633" spans="1:5" x14ac:dyDescent="0.3">
      <c r="A4633" s="4">
        <v>4630</v>
      </c>
      <c r="B4633" s="5">
        <v>55741.470182056692</v>
      </c>
      <c r="C4633" s="19">
        <v>-30.767679143727889</v>
      </c>
      <c r="D4633" s="5">
        <v>116805.26056993766</v>
      </c>
      <c r="E4633" s="6">
        <v>109.54822359087603</v>
      </c>
    </row>
    <row r="4634" spans="1:5" x14ac:dyDescent="0.3">
      <c r="A4634" s="4">
        <v>4631</v>
      </c>
      <c r="B4634" s="5">
        <v>109345.39250787265</v>
      </c>
      <c r="C4634" s="19">
        <v>35.809753017546491</v>
      </c>
      <c r="D4634" s="5">
        <v>190569.28547653064</v>
      </c>
      <c r="E4634" s="6">
        <v>74.281952906986945</v>
      </c>
    </row>
    <row r="4635" spans="1:5" x14ac:dyDescent="0.3">
      <c r="A4635" s="4">
        <v>4632</v>
      </c>
      <c r="B4635" s="5">
        <v>138132.705184758</v>
      </c>
      <c r="C4635" s="19">
        <v>71.564326072878487</v>
      </c>
      <c r="D4635" s="5">
        <v>255984.61678401471</v>
      </c>
      <c r="E4635" s="6">
        <v>85.317891546122311</v>
      </c>
    </row>
    <row r="4636" spans="1:5" x14ac:dyDescent="0.3">
      <c r="A4636" s="4">
        <v>4633</v>
      </c>
      <c r="B4636" s="5">
        <v>60857.045793183905</v>
      </c>
      <c r="C4636" s="19">
        <v>-24.414004385646511</v>
      </c>
      <c r="D4636" s="5">
        <v>107749.94523215925</v>
      </c>
      <c r="E4636" s="6">
        <v>77.054183008382964</v>
      </c>
    </row>
    <row r="4637" spans="1:5" x14ac:dyDescent="0.3">
      <c r="A4637" s="4">
        <v>4634</v>
      </c>
      <c r="B4637" s="5">
        <v>52101.029833902168</v>
      </c>
      <c r="C4637" s="19">
        <v>-35.289198461721838</v>
      </c>
      <c r="D4637" s="5">
        <v>112041.59317752349</v>
      </c>
      <c r="E4637" s="6">
        <v>115.04679184789927</v>
      </c>
    </row>
    <row r="4638" spans="1:5" x14ac:dyDescent="0.3">
      <c r="A4638" s="4">
        <v>4635</v>
      </c>
      <c r="B4638" s="5">
        <v>66620.596364130048</v>
      </c>
      <c r="C4638" s="19">
        <v>-17.25552827987023</v>
      </c>
      <c r="D4638" s="5">
        <v>116228.44510691559</v>
      </c>
      <c r="E4638" s="6">
        <v>74.463231268063922</v>
      </c>
    </row>
    <row r="4639" spans="1:5" x14ac:dyDescent="0.3">
      <c r="A4639" s="4">
        <v>4636</v>
      </c>
      <c r="B4639" s="5">
        <v>91595.233314788435</v>
      </c>
      <c r="C4639" s="19">
        <v>13.763604746037588</v>
      </c>
      <c r="D4639" s="5">
        <v>166774.34084284477</v>
      </c>
      <c r="E4639" s="6">
        <v>82.077532648108175</v>
      </c>
    </row>
    <row r="4640" spans="1:5" x14ac:dyDescent="0.3">
      <c r="A4640" s="4">
        <v>4637</v>
      </c>
      <c r="B4640" s="5">
        <v>63649.673604533353</v>
      </c>
      <c r="C4640" s="19">
        <v>-20.945489758457313</v>
      </c>
      <c r="D4640" s="5">
        <v>123023.01588070481</v>
      </c>
      <c r="E4640" s="6">
        <v>93.281455997824139</v>
      </c>
    </row>
    <row r="4641" spans="1:5" x14ac:dyDescent="0.3">
      <c r="A4641" s="4">
        <v>4638</v>
      </c>
      <c r="B4641" s="5">
        <v>82989.746237235566</v>
      </c>
      <c r="C4641" s="19">
        <v>3.0753713619560568</v>
      </c>
      <c r="D4641" s="5">
        <v>153298.74530987034</v>
      </c>
      <c r="E4641" s="6">
        <v>84.720103700098761</v>
      </c>
    </row>
    <row r="4642" spans="1:5" x14ac:dyDescent="0.3">
      <c r="A4642" s="4">
        <v>4639</v>
      </c>
      <c r="B4642" s="5">
        <v>62301.718228691643</v>
      </c>
      <c r="C4642" s="19">
        <v>-22.619684550510911</v>
      </c>
      <c r="D4642" s="5">
        <v>130168.35851059157</v>
      </c>
      <c r="E4642" s="6">
        <v>108.93221280475933</v>
      </c>
    </row>
    <row r="4643" spans="1:5" x14ac:dyDescent="0.3">
      <c r="A4643" s="4">
        <v>4640</v>
      </c>
      <c r="B4643" s="5">
        <v>55153.070075319141</v>
      </c>
      <c r="C4643" s="19">
        <v>-31.49848701170249</v>
      </c>
      <c r="D4643" s="5">
        <v>93000.970048340649</v>
      </c>
      <c r="E4643" s="6">
        <v>68.623378392780253</v>
      </c>
    </row>
    <row r="4644" spans="1:5" x14ac:dyDescent="0.3">
      <c r="A4644" s="4">
        <v>4641</v>
      </c>
      <c r="B4644" s="5">
        <v>60975.545042148413</v>
      </c>
      <c r="C4644" s="19">
        <v>-24.266825310556758</v>
      </c>
      <c r="D4644" s="5">
        <v>119943.47996489223</v>
      </c>
      <c r="E4644" s="6">
        <v>96.707515909834243</v>
      </c>
    </row>
    <row r="4645" spans="1:5" x14ac:dyDescent="0.3">
      <c r="A4645" s="4">
        <v>4642</v>
      </c>
      <c r="B4645" s="5">
        <v>105225.60771457516</v>
      </c>
      <c r="C4645" s="19">
        <v>30.692875731446929</v>
      </c>
      <c r="D4645" s="5">
        <v>181164.51385897363</v>
      </c>
      <c r="E4645" s="6">
        <v>72.167704985257032</v>
      </c>
    </row>
    <row r="4646" spans="1:5" x14ac:dyDescent="0.3">
      <c r="A4646" s="4">
        <v>4643</v>
      </c>
      <c r="B4646" s="5">
        <v>37665.417372050113</v>
      </c>
      <c r="C4646" s="19">
        <v>-53.21859555963789</v>
      </c>
      <c r="D4646" s="5">
        <v>82239.526744728253</v>
      </c>
      <c r="E4646" s="6">
        <v>118.34226853876488</v>
      </c>
    </row>
    <row r="4647" spans="1:5" x14ac:dyDescent="0.3">
      <c r="A4647" s="4">
        <v>4644</v>
      </c>
      <c r="B4647" s="5">
        <v>34925.481429645537</v>
      </c>
      <c r="C4647" s="19">
        <v>-56.621665548115665</v>
      </c>
      <c r="D4647" s="5">
        <v>71127.727375408344</v>
      </c>
      <c r="E4647" s="6">
        <v>103.65568193723888</v>
      </c>
    </row>
    <row r="4648" spans="1:5" x14ac:dyDescent="0.3">
      <c r="A4648" s="4">
        <v>4645</v>
      </c>
      <c r="B4648" s="5">
        <v>62555.81271736171</v>
      </c>
      <c r="C4648" s="19">
        <v>-22.304092745882134</v>
      </c>
      <c r="D4648" s="5">
        <v>115759.40957909012</v>
      </c>
      <c r="E4648" s="6">
        <v>85.049805206930529</v>
      </c>
    </row>
    <row r="4649" spans="1:5" x14ac:dyDescent="0.3">
      <c r="A4649" s="4">
        <v>4646</v>
      </c>
      <c r="B4649" s="5">
        <v>47879.06901478814</v>
      </c>
      <c r="C4649" s="19">
        <v>-40.532980965427718</v>
      </c>
      <c r="D4649" s="5">
        <v>91732.492480412388</v>
      </c>
      <c r="E4649" s="6">
        <v>91.592055501495835</v>
      </c>
    </row>
    <row r="4650" spans="1:5" x14ac:dyDescent="0.3">
      <c r="A4650" s="4">
        <v>4647</v>
      </c>
      <c r="B4650" s="5">
        <v>34948.320480659939</v>
      </c>
      <c r="C4650" s="19">
        <v>-56.593298867030342</v>
      </c>
      <c r="D4650" s="5">
        <v>71237.428032625641</v>
      </c>
      <c r="E4650" s="6">
        <v>103.83648499517378</v>
      </c>
    </row>
    <row r="4651" spans="1:5" x14ac:dyDescent="0.3">
      <c r="A4651" s="4">
        <v>4648</v>
      </c>
      <c r="B4651" s="5">
        <v>62146.434565442789</v>
      </c>
      <c r="C4651" s="19">
        <v>-22.812550801843525</v>
      </c>
      <c r="D4651" s="5">
        <v>121918.97933944699</v>
      </c>
      <c r="E4651" s="6">
        <v>96.180167361107777</v>
      </c>
    </row>
    <row r="4652" spans="1:5" x14ac:dyDescent="0.3">
      <c r="A4652" s="4">
        <v>4649</v>
      </c>
      <c r="B4652" s="5">
        <v>49610.108583782196</v>
      </c>
      <c r="C4652" s="19">
        <v>-38.382985881622453</v>
      </c>
      <c r="D4652" s="5">
        <v>86936.17583263712</v>
      </c>
      <c r="E4652" s="6">
        <v>75.238834008633901</v>
      </c>
    </row>
    <row r="4653" spans="1:5" x14ac:dyDescent="0.3">
      <c r="A4653" s="4">
        <v>4650</v>
      </c>
      <c r="B4653" s="5">
        <v>39778.871137446105</v>
      </c>
      <c r="C4653" s="19">
        <v>-50.593632337051552</v>
      </c>
      <c r="D4653" s="5">
        <v>72429.081302584367</v>
      </c>
      <c r="E4653" s="6">
        <v>82.079277846582144</v>
      </c>
    </row>
    <row r="4654" spans="1:5" x14ac:dyDescent="0.3">
      <c r="A4654" s="4">
        <v>4651</v>
      </c>
      <c r="B4654" s="5">
        <v>56848.655112810869</v>
      </c>
      <c r="C4654" s="19">
        <v>-29.392527355968305</v>
      </c>
      <c r="D4654" s="5">
        <v>103998.0494701276</v>
      </c>
      <c r="E4654" s="6">
        <v>82.93845169028738</v>
      </c>
    </row>
    <row r="4655" spans="1:5" x14ac:dyDescent="0.3">
      <c r="A4655" s="4">
        <v>4652</v>
      </c>
      <c r="B4655" s="5">
        <v>123495.08438510324</v>
      </c>
      <c r="C4655" s="19">
        <v>53.38402949181782</v>
      </c>
      <c r="D4655" s="5">
        <v>249067.62060924622</v>
      </c>
      <c r="E4655" s="6">
        <v>101.68221419450308</v>
      </c>
    </row>
    <row r="4656" spans="1:5" x14ac:dyDescent="0.3">
      <c r="A4656" s="4">
        <v>4653</v>
      </c>
      <c r="B4656" s="5">
        <v>81960.779765796615</v>
      </c>
      <c r="C4656" s="19">
        <v>1.7973688860913426</v>
      </c>
      <c r="D4656" s="5">
        <v>154362.03885871873</v>
      </c>
      <c r="E4656" s="6">
        <v>88.336469345227215</v>
      </c>
    </row>
    <row r="4657" spans="1:5" x14ac:dyDescent="0.3">
      <c r="A4657" s="4">
        <v>4654</v>
      </c>
      <c r="B4657" s="5">
        <v>70954.876667340955</v>
      </c>
      <c r="C4657" s="19">
        <v>-11.872242125901657</v>
      </c>
      <c r="D4657" s="5">
        <v>120251.69397860812</v>
      </c>
      <c r="E4657" s="6">
        <v>69.476292013565654</v>
      </c>
    </row>
    <row r="4658" spans="1:5" x14ac:dyDescent="0.3">
      <c r="A4658" s="4">
        <v>4655</v>
      </c>
      <c r="B4658" s="5">
        <v>103677.76669792713</v>
      </c>
      <c r="C4658" s="19">
        <v>28.770417899798812</v>
      </c>
      <c r="D4658" s="5">
        <v>183024.10444166872</v>
      </c>
      <c r="E4658" s="6">
        <v>76.531681064198693</v>
      </c>
    </row>
    <row r="4659" spans="1:5" x14ac:dyDescent="0.3">
      <c r="A4659" s="4">
        <v>4656</v>
      </c>
      <c r="B4659" s="5">
        <v>80244.98253664287</v>
      </c>
      <c r="C4659" s="19">
        <v>-0.33369482473473128</v>
      </c>
      <c r="D4659" s="5">
        <v>130260.24870952334</v>
      </c>
      <c r="E4659" s="6">
        <v>62.328216159859743</v>
      </c>
    </row>
    <row r="4660" spans="1:5" x14ac:dyDescent="0.3">
      <c r="A4660" s="4">
        <v>4657</v>
      </c>
      <c r="B4660" s="5">
        <v>30893.23449369202</v>
      </c>
      <c r="C4660" s="19">
        <v>-61.629818593413653</v>
      </c>
      <c r="D4660" s="5">
        <v>61011.241615468825</v>
      </c>
      <c r="E4660" s="6">
        <v>97.490624129779917</v>
      </c>
    </row>
    <row r="4661" spans="1:5" x14ac:dyDescent="0.3">
      <c r="A4661" s="4">
        <v>4658</v>
      </c>
      <c r="B4661" s="5">
        <v>56622.13358144516</v>
      </c>
      <c r="C4661" s="19">
        <v>-29.673872847738515</v>
      </c>
      <c r="D4661" s="5">
        <v>109664.35382580444</v>
      </c>
      <c r="E4661" s="6">
        <v>93.677537191464992</v>
      </c>
    </row>
    <row r="4662" spans="1:5" x14ac:dyDescent="0.3">
      <c r="A4662" s="4">
        <v>4659</v>
      </c>
      <c r="B4662" s="5">
        <v>52030.22725487026</v>
      </c>
      <c r="C4662" s="19">
        <v>-35.377137062066943</v>
      </c>
      <c r="D4662" s="5">
        <v>119434.83345661673</v>
      </c>
      <c r="E4662" s="6">
        <v>129.54893675855914</v>
      </c>
    </row>
    <row r="4663" spans="1:5" x14ac:dyDescent="0.3">
      <c r="A4663" s="4">
        <v>4660</v>
      </c>
      <c r="B4663" s="5">
        <v>105105.69086522292</v>
      </c>
      <c r="C4663" s="19">
        <v>30.543935960692544</v>
      </c>
      <c r="D4663" s="5">
        <v>207177.04637473251</v>
      </c>
      <c r="E4663" s="6">
        <v>97.113062736437129</v>
      </c>
    </row>
    <row r="4664" spans="1:5" x14ac:dyDescent="0.3">
      <c r="A4664" s="4">
        <v>4661</v>
      </c>
      <c r="B4664" s="5">
        <v>123725.02076021818</v>
      </c>
      <c r="C4664" s="19">
        <v>53.669616306203814</v>
      </c>
      <c r="D4664" s="5">
        <v>224821.6224060411</v>
      </c>
      <c r="E4664" s="6">
        <v>81.710717060011959</v>
      </c>
    </row>
    <row r="4665" spans="1:5" x14ac:dyDescent="0.3">
      <c r="A4665" s="4">
        <v>4662</v>
      </c>
      <c r="B4665" s="5">
        <v>45743.093633752018</v>
      </c>
      <c r="C4665" s="19">
        <v>-43.185916606307053</v>
      </c>
      <c r="D4665" s="5">
        <v>92798.711819086122</v>
      </c>
      <c r="E4665" s="6">
        <v>102.86933927576256</v>
      </c>
    </row>
    <row r="4666" spans="1:5" x14ac:dyDescent="0.3">
      <c r="A4666" s="4">
        <v>4663</v>
      </c>
      <c r="B4666" s="5">
        <v>130005.3401123631</v>
      </c>
      <c r="C4666" s="19">
        <v>61.469932355411942</v>
      </c>
      <c r="D4666" s="5">
        <v>238537.4950105199</v>
      </c>
      <c r="E4666" s="6">
        <v>83.482843708076047</v>
      </c>
    </row>
    <row r="4667" spans="1:5" x14ac:dyDescent="0.3">
      <c r="A4667" s="4">
        <v>4664</v>
      </c>
      <c r="B4667" s="5">
        <v>61287.857725349364</v>
      </c>
      <c r="C4667" s="19">
        <v>-23.878925030563572</v>
      </c>
      <c r="D4667" s="5">
        <v>123372.94837739924</v>
      </c>
      <c r="E4667" s="6">
        <v>101.30080077243548</v>
      </c>
    </row>
    <row r="4668" spans="1:5" x14ac:dyDescent="0.3">
      <c r="A4668" s="4">
        <v>4665</v>
      </c>
      <c r="B4668" s="5">
        <v>43718.570236313215</v>
      </c>
      <c r="C4668" s="19">
        <v>-45.700426054563977</v>
      </c>
      <c r="D4668" s="5">
        <v>86001.241432860013</v>
      </c>
      <c r="E4668" s="6">
        <v>96.715585546359563</v>
      </c>
    </row>
    <row r="4669" spans="1:5" x14ac:dyDescent="0.3">
      <c r="A4669" s="4">
        <v>4666</v>
      </c>
      <c r="B4669" s="5">
        <v>61393.71582708403</v>
      </c>
      <c r="C4669" s="19">
        <v>-23.747446581204528</v>
      </c>
      <c r="D4669" s="5">
        <v>123553.8276204002</v>
      </c>
      <c r="E4669" s="6">
        <v>101.24832966356149</v>
      </c>
    </row>
    <row r="4670" spans="1:5" x14ac:dyDescent="0.3">
      <c r="A4670" s="4">
        <v>4667</v>
      </c>
      <c r="B4670" s="5">
        <v>44275.706278335521</v>
      </c>
      <c r="C4670" s="19">
        <v>-45.008448948543936</v>
      </c>
      <c r="D4670" s="5">
        <v>79155.023462274607</v>
      </c>
      <c r="E4670" s="6">
        <v>78.777551203075518</v>
      </c>
    </row>
    <row r="4671" spans="1:5" x14ac:dyDescent="0.3">
      <c r="A4671" s="4">
        <v>4668</v>
      </c>
      <c r="B4671" s="5">
        <v>63899.296180157704</v>
      </c>
      <c r="C4671" s="19">
        <v>-20.635452183342238</v>
      </c>
      <c r="D4671" s="5">
        <v>147474.95863652698</v>
      </c>
      <c r="E4671" s="6">
        <v>130.79277465081307</v>
      </c>
    </row>
    <row r="4672" spans="1:5" x14ac:dyDescent="0.3">
      <c r="A4672" s="4">
        <v>4669</v>
      </c>
      <c r="B4672" s="5">
        <v>70929.486366169396</v>
      </c>
      <c r="C4672" s="19">
        <v>-11.903777524440763</v>
      </c>
      <c r="D4672" s="5">
        <v>149995.77564507551</v>
      </c>
      <c r="E4672" s="6">
        <v>111.47167888786187</v>
      </c>
    </row>
    <row r="4673" spans="1:5" x14ac:dyDescent="0.3">
      <c r="A4673" s="4">
        <v>4670</v>
      </c>
      <c r="B4673" s="5">
        <v>37533.464217695167</v>
      </c>
      <c r="C4673" s="19">
        <v>-53.382484726724108</v>
      </c>
      <c r="D4673" s="5">
        <v>72392.70978845151</v>
      </c>
      <c r="E4673" s="6">
        <v>92.875108379476302</v>
      </c>
    </row>
    <row r="4674" spans="1:5" x14ac:dyDescent="0.3">
      <c r="A4674" s="4">
        <v>4671</v>
      </c>
      <c r="B4674" s="5">
        <v>79314.638280481333</v>
      </c>
      <c r="C4674" s="19">
        <v>-1.4892060058893875</v>
      </c>
      <c r="D4674" s="5">
        <v>148775.40784908834</v>
      </c>
      <c r="E4674" s="6">
        <v>87.576229400393942</v>
      </c>
    </row>
    <row r="4675" spans="1:5" x14ac:dyDescent="0.3">
      <c r="A4675" s="4">
        <v>4672</v>
      </c>
      <c r="B4675" s="5">
        <v>78168.531827639075</v>
      </c>
      <c r="C4675" s="19">
        <v>-2.9126993120304454</v>
      </c>
      <c r="D4675" s="5">
        <v>147295.70453979101</v>
      </c>
      <c r="E4675" s="6">
        <v>88.433505268560936</v>
      </c>
    </row>
    <row r="4676" spans="1:5" x14ac:dyDescent="0.3">
      <c r="A4676" s="4">
        <v>4673</v>
      </c>
      <c r="B4676" s="5">
        <v>74999.877272065525</v>
      </c>
      <c r="C4676" s="19">
        <v>-6.8482487002626398</v>
      </c>
      <c r="D4676" s="5">
        <v>124098.33280209008</v>
      </c>
      <c r="E4676" s="6">
        <v>65.464714498021962</v>
      </c>
    </row>
    <row r="4677" spans="1:5" x14ac:dyDescent="0.3">
      <c r="A4677" s="4">
        <v>4674</v>
      </c>
      <c r="B4677" s="5">
        <v>51813.882253301286</v>
      </c>
      <c r="C4677" s="19">
        <v>-35.645843045517935</v>
      </c>
      <c r="D4677" s="5">
        <v>100793.94772226737</v>
      </c>
      <c r="E4677" s="6">
        <v>94.530776963436963</v>
      </c>
    </row>
    <row r="4678" spans="1:5" x14ac:dyDescent="0.3">
      <c r="A4678" s="4">
        <v>4675</v>
      </c>
      <c r="B4678" s="5">
        <v>100980.06755210173</v>
      </c>
      <c r="C4678" s="19">
        <v>25.419807084772323</v>
      </c>
      <c r="D4678" s="5">
        <v>160057.59481359692</v>
      </c>
      <c r="E4678" s="6">
        <v>58.504147099142635</v>
      </c>
    </row>
    <row r="4679" spans="1:5" x14ac:dyDescent="0.3">
      <c r="A4679" s="4">
        <v>4676</v>
      </c>
      <c r="B4679" s="5">
        <v>47107.341543649658</v>
      </c>
      <c r="C4679" s="19">
        <v>-41.491486073401305</v>
      </c>
      <c r="D4679" s="5">
        <v>89954.248201675931</v>
      </c>
      <c r="E4679" s="6">
        <v>90.955900405299531</v>
      </c>
    </row>
    <row r="4680" spans="1:5" x14ac:dyDescent="0.3">
      <c r="A4680" s="4">
        <v>4677</v>
      </c>
      <c r="B4680" s="5">
        <v>42003.809645615482</v>
      </c>
      <c r="C4680" s="19">
        <v>-47.830202234114608</v>
      </c>
      <c r="D4680" s="5">
        <v>79019.539995784522</v>
      </c>
      <c r="E4680" s="6">
        <v>88.124697884476021</v>
      </c>
    </row>
    <row r="4681" spans="1:5" x14ac:dyDescent="0.3">
      <c r="A4681" s="4">
        <v>4678</v>
      </c>
      <c r="B4681" s="5">
        <v>61987.912857095827</v>
      </c>
      <c r="C4681" s="19">
        <v>-23.009438787379548</v>
      </c>
      <c r="D4681" s="5">
        <v>105610.41196840459</v>
      </c>
      <c r="E4681" s="6">
        <v>70.372588946290421</v>
      </c>
    </row>
    <row r="4682" spans="1:5" x14ac:dyDescent="0.3">
      <c r="A4682" s="4">
        <v>4679</v>
      </c>
      <c r="B4682" s="5">
        <v>33430.669087056151</v>
      </c>
      <c r="C4682" s="19">
        <v>-58.478260420551905</v>
      </c>
      <c r="D4682" s="5">
        <v>76631.199727593135</v>
      </c>
      <c r="E4682" s="6">
        <v>129.22424773503434</v>
      </c>
    </row>
    <row r="4683" spans="1:5" x14ac:dyDescent="0.3">
      <c r="A4683" s="4">
        <v>4680</v>
      </c>
      <c r="B4683" s="5">
        <v>82650.98500291878</v>
      </c>
      <c r="C4683" s="19">
        <v>2.6546213101313358</v>
      </c>
      <c r="D4683" s="5">
        <v>172679.89514256781</v>
      </c>
      <c r="E4683" s="6">
        <v>108.92660279423131</v>
      </c>
    </row>
    <row r="4684" spans="1:5" x14ac:dyDescent="0.3">
      <c r="A4684" s="4">
        <v>4681</v>
      </c>
      <c r="B4684" s="5">
        <v>48656.547888628134</v>
      </c>
      <c r="C4684" s="19">
        <v>-39.567332469310536</v>
      </c>
      <c r="D4684" s="5">
        <v>90016.158593466593</v>
      </c>
      <c r="E4684" s="6">
        <v>85.003175316728345</v>
      </c>
    </row>
    <row r="4685" spans="1:5" x14ac:dyDescent="0.3">
      <c r="A4685" s="4">
        <v>4682</v>
      </c>
      <c r="B4685" s="5">
        <v>76407.983978807126</v>
      </c>
      <c r="C4685" s="19">
        <v>-5.0993444284053782</v>
      </c>
      <c r="D4685" s="5">
        <v>121814.60306318029</v>
      </c>
      <c r="E4685" s="6">
        <v>59.426537280406919</v>
      </c>
    </row>
    <row r="4686" spans="1:5" x14ac:dyDescent="0.3">
      <c r="A4686" s="4">
        <v>4683</v>
      </c>
      <c r="B4686" s="5">
        <v>46661.117809624528</v>
      </c>
      <c r="C4686" s="19">
        <v>-42.045707277592939</v>
      </c>
      <c r="D4686" s="5">
        <v>91471.802729787523</v>
      </c>
      <c r="E4686" s="6">
        <v>96.034315129330537</v>
      </c>
    </row>
    <row r="4687" spans="1:5" x14ac:dyDescent="0.3">
      <c r="A4687" s="4">
        <v>4684</v>
      </c>
      <c r="B4687" s="5">
        <v>121661.451386863</v>
      </c>
      <c r="C4687" s="19">
        <v>51.10661076475165</v>
      </c>
      <c r="D4687" s="5">
        <v>220223.5741846734</v>
      </c>
      <c r="E4687" s="6">
        <v>81.013436609760134</v>
      </c>
    </row>
    <row r="4688" spans="1:5" x14ac:dyDescent="0.3">
      <c r="A4688" s="4">
        <v>4685</v>
      </c>
      <c r="B4688" s="5">
        <v>33197.850160994189</v>
      </c>
      <c r="C4688" s="19">
        <v>-58.767427436382121</v>
      </c>
      <c r="D4688" s="5">
        <v>72655.277667961665</v>
      </c>
      <c r="E4688" s="6">
        <v>118.85536959657701</v>
      </c>
    </row>
    <row r="4689" spans="1:5" x14ac:dyDescent="0.3">
      <c r="A4689" s="4">
        <v>4686</v>
      </c>
      <c r="B4689" s="5">
        <v>90907.341155233167</v>
      </c>
      <c r="C4689" s="19">
        <v>12.909225223048715</v>
      </c>
      <c r="D4689" s="5">
        <v>152238.35560861745</v>
      </c>
      <c r="E4689" s="6">
        <v>67.465414425283413</v>
      </c>
    </row>
    <row r="4690" spans="1:5" x14ac:dyDescent="0.3">
      <c r="A4690" s="4">
        <v>4687</v>
      </c>
      <c r="B4690" s="5">
        <v>105501.48166159092</v>
      </c>
      <c r="C4690" s="19">
        <v>31.035518176170772</v>
      </c>
      <c r="D4690" s="5">
        <v>166130.2204002502</v>
      </c>
      <c r="E4690" s="6">
        <v>57.467191724504374</v>
      </c>
    </row>
    <row r="4691" spans="1:5" x14ac:dyDescent="0.3">
      <c r="A4691" s="4">
        <v>4688</v>
      </c>
      <c r="B4691" s="5">
        <v>41340.887969746967</v>
      </c>
      <c r="C4691" s="19">
        <v>-48.653567782536769</v>
      </c>
      <c r="D4691" s="5">
        <v>92155.292059567306</v>
      </c>
      <c r="E4691" s="6">
        <v>122.91560869956648</v>
      </c>
    </row>
    <row r="4692" spans="1:5" x14ac:dyDescent="0.3">
      <c r="A4692" s="4">
        <v>4689</v>
      </c>
      <c r="B4692" s="5">
        <v>56705.502828473785</v>
      </c>
      <c r="C4692" s="19">
        <v>-29.570326126760747</v>
      </c>
      <c r="D4692" s="5">
        <v>108693.17075867837</v>
      </c>
      <c r="E4692" s="6">
        <v>91.680110989333812</v>
      </c>
    </row>
    <row r="4693" spans="1:5" x14ac:dyDescent="0.3">
      <c r="A4693" s="4">
        <v>4690</v>
      </c>
      <c r="B4693" s="5">
        <v>78846.990919172182</v>
      </c>
      <c r="C4693" s="19">
        <v>-2.0700358989654077</v>
      </c>
      <c r="D4693" s="5">
        <v>143920.34175721559</v>
      </c>
      <c r="E4693" s="6">
        <v>82.531178526205977</v>
      </c>
    </row>
    <row r="4694" spans="1:5" x14ac:dyDescent="0.3">
      <c r="A4694" s="4">
        <v>4691</v>
      </c>
      <c r="B4694" s="5">
        <v>33571.217824881962</v>
      </c>
      <c r="C4694" s="19">
        <v>-58.303695320612491</v>
      </c>
      <c r="D4694" s="5">
        <v>58364.767824680283</v>
      </c>
      <c r="E4694" s="6">
        <v>73.85359127908103</v>
      </c>
    </row>
    <row r="4695" spans="1:5" x14ac:dyDescent="0.3">
      <c r="A4695" s="4">
        <v>4692</v>
      </c>
      <c r="B4695" s="5">
        <v>45115.077872171612</v>
      </c>
      <c r="C4695" s="19">
        <v>-43.965928123163792</v>
      </c>
      <c r="D4695" s="5">
        <v>80828.242004732747</v>
      </c>
      <c r="E4695" s="6">
        <v>79.160151809446674</v>
      </c>
    </row>
    <row r="4696" spans="1:5" x14ac:dyDescent="0.3">
      <c r="A4696" s="4">
        <v>4693</v>
      </c>
      <c r="B4696" s="5">
        <v>85249.141333541644</v>
      </c>
      <c r="C4696" s="19">
        <v>5.8815974219730967</v>
      </c>
      <c r="D4696" s="5">
        <v>161946.58538518308</v>
      </c>
      <c r="E4696" s="6">
        <v>89.968582500507239</v>
      </c>
    </row>
    <row r="4697" spans="1:5" x14ac:dyDescent="0.3">
      <c r="A4697" s="4">
        <v>4694</v>
      </c>
      <c r="B4697" s="5">
        <v>66734.312952792228</v>
      </c>
      <c r="C4697" s="19">
        <v>-17.114289390274617</v>
      </c>
      <c r="D4697" s="5">
        <v>117172.71932130538</v>
      </c>
      <c r="E4697" s="6">
        <v>75.580918026672762</v>
      </c>
    </row>
    <row r="4698" spans="1:5" x14ac:dyDescent="0.3">
      <c r="A4698" s="4">
        <v>4695</v>
      </c>
      <c r="B4698" s="5">
        <v>96050.780686025042</v>
      </c>
      <c r="C4698" s="19">
        <v>19.297507676625685</v>
      </c>
      <c r="D4698" s="5">
        <v>194652.01323064792</v>
      </c>
      <c r="E4698" s="6">
        <v>102.65531611547736</v>
      </c>
    </row>
    <row r="4699" spans="1:5" x14ac:dyDescent="0.3">
      <c r="A4699" s="4">
        <v>4696</v>
      </c>
      <c r="B4699" s="5">
        <v>138998.19765074976</v>
      </c>
      <c r="C4699" s="19">
        <v>72.639289684504163</v>
      </c>
      <c r="D4699" s="5">
        <v>204091.35042144527</v>
      </c>
      <c r="E4699" s="6">
        <v>46.830213535753998</v>
      </c>
    </row>
    <row r="4700" spans="1:5" x14ac:dyDescent="0.3">
      <c r="A4700" s="4">
        <v>4697</v>
      </c>
      <c r="B4700" s="5">
        <v>91383.253487481619</v>
      </c>
      <c r="C4700" s="19">
        <v>13.50032041982176</v>
      </c>
      <c r="D4700" s="5">
        <v>155209.6569367722</v>
      </c>
      <c r="E4700" s="6">
        <v>69.844748368511532</v>
      </c>
    </row>
    <row r="4701" spans="1:5" x14ac:dyDescent="0.3">
      <c r="A4701" s="4">
        <v>4698</v>
      </c>
      <c r="B4701" s="5">
        <v>48457.026583696133</v>
      </c>
      <c r="C4701" s="19">
        <v>-39.815142994501187</v>
      </c>
      <c r="D4701" s="5">
        <v>93275.405555360339</v>
      </c>
      <c r="E4701" s="6">
        <v>92.490980424176115</v>
      </c>
    </row>
    <row r="4702" spans="1:5" x14ac:dyDescent="0.3">
      <c r="A4702" s="4">
        <v>4699</v>
      </c>
      <c r="B4702" s="5">
        <v>72057.018707229479</v>
      </c>
      <c r="C4702" s="19">
        <v>-10.503353736601317</v>
      </c>
      <c r="D4702" s="5">
        <v>147720.292462791</v>
      </c>
      <c r="E4702" s="6">
        <v>105.00472419346738</v>
      </c>
    </row>
    <row r="4703" spans="1:5" x14ac:dyDescent="0.3">
      <c r="A4703" s="4">
        <v>4700</v>
      </c>
      <c r="B4703" s="5">
        <v>47238.347325103627</v>
      </c>
      <c r="C4703" s="19">
        <v>-41.328773567505337</v>
      </c>
      <c r="D4703" s="5">
        <v>100665.08216804099</v>
      </c>
      <c r="E4703" s="6">
        <v>113.10034721419026</v>
      </c>
    </row>
    <row r="4704" spans="1:5" x14ac:dyDescent="0.3">
      <c r="A4704" s="4">
        <v>4701</v>
      </c>
      <c r="B4704" s="5">
        <v>40208.707414109835</v>
      </c>
      <c r="C4704" s="19">
        <v>-50.059764770866913</v>
      </c>
      <c r="D4704" s="5">
        <v>77639.207826764687</v>
      </c>
      <c r="E4704" s="6">
        <v>93.090533916342537</v>
      </c>
    </row>
    <row r="4705" spans="1:5" x14ac:dyDescent="0.3">
      <c r="A4705" s="4">
        <v>4702</v>
      </c>
      <c r="B4705" s="5">
        <v>72297.048471162474</v>
      </c>
      <c r="C4705" s="19">
        <v>-10.205230677102007</v>
      </c>
      <c r="D4705" s="5">
        <v>143563.66663772767</v>
      </c>
      <c r="E4705" s="6">
        <v>98.574727009764047</v>
      </c>
    </row>
    <row r="4706" spans="1:5" x14ac:dyDescent="0.3">
      <c r="A4706" s="4">
        <v>4703</v>
      </c>
      <c r="B4706" s="5">
        <v>63612.00954604338</v>
      </c>
      <c r="C4706" s="19">
        <v>-20.992269475131646</v>
      </c>
      <c r="D4706" s="5">
        <v>120274.10039186185</v>
      </c>
      <c r="E4706" s="6">
        <v>89.074517925432858</v>
      </c>
    </row>
    <row r="4707" spans="1:5" x14ac:dyDescent="0.3">
      <c r="A4707" s="4">
        <v>4704</v>
      </c>
      <c r="B4707" s="5">
        <v>21249.513476019671</v>
      </c>
      <c r="C4707" s="19">
        <v>-73.607564884698022</v>
      </c>
      <c r="D4707" s="5">
        <v>41537.565875259235</v>
      </c>
      <c r="E4707" s="6">
        <v>95.475373693307731</v>
      </c>
    </row>
    <row r="4708" spans="1:5" x14ac:dyDescent="0.3">
      <c r="A4708" s="4">
        <v>4705</v>
      </c>
      <c r="B4708" s="5">
        <v>53616.671517509996</v>
      </c>
      <c r="C4708" s="19">
        <v>-33.406733019027875</v>
      </c>
      <c r="D4708" s="5">
        <v>121415.91058808312</v>
      </c>
      <c r="E4708" s="6">
        <v>126.45178663959291</v>
      </c>
    </row>
    <row r="4709" spans="1:5" x14ac:dyDescent="0.3">
      <c r="A4709" s="4">
        <v>4706</v>
      </c>
      <c r="B4709" s="5">
        <v>53066.571435444348</v>
      </c>
      <c r="C4709" s="19">
        <v>-34.089971284187413</v>
      </c>
      <c r="D4709" s="5">
        <v>112347.43186690503</v>
      </c>
      <c r="E4709" s="6">
        <v>111.71036460038883</v>
      </c>
    </row>
    <row r="4710" spans="1:5" x14ac:dyDescent="0.3">
      <c r="A4710" s="4">
        <v>4707</v>
      </c>
      <c r="B4710" s="5">
        <v>64423.358801275899</v>
      </c>
      <c r="C4710" s="19">
        <v>-19.984553105590376</v>
      </c>
      <c r="D4710" s="5">
        <v>112539.48463166312</v>
      </c>
      <c r="E4710" s="6">
        <v>74.687390917957359</v>
      </c>
    </row>
    <row r="4711" spans="1:5" x14ac:dyDescent="0.3">
      <c r="A4711" s="4">
        <v>4708</v>
      </c>
      <c r="B4711" s="5">
        <v>57612.312525373287</v>
      </c>
      <c r="C4711" s="19">
        <v>-28.444045465589131</v>
      </c>
      <c r="D4711" s="5">
        <v>93323.326832733641</v>
      </c>
      <c r="E4711" s="6">
        <v>61.985038860630205</v>
      </c>
    </row>
    <row r="4712" spans="1:5" x14ac:dyDescent="0.3">
      <c r="A4712" s="4">
        <v>4709</v>
      </c>
      <c r="B4712" s="5">
        <v>48755.91288381473</v>
      </c>
      <c r="C4712" s="19">
        <v>-39.443918623099236</v>
      </c>
      <c r="D4712" s="5">
        <v>87524.142124777034</v>
      </c>
      <c r="E4712" s="6">
        <v>79.514928442314144</v>
      </c>
    </row>
    <row r="4713" spans="1:5" x14ac:dyDescent="0.3">
      <c r="A4713" s="4">
        <v>4710</v>
      </c>
      <c r="B4713" s="5">
        <v>65634.769259475099</v>
      </c>
      <c r="C4713" s="19">
        <v>-18.479950567179248</v>
      </c>
      <c r="D4713" s="5">
        <v>110274.16458067048</v>
      </c>
      <c r="E4713" s="6">
        <v>68.011811155641695</v>
      </c>
    </row>
    <row r="4714" spans="1:5" x14ac:dyDescent="0.3">
      <c r="A4714" s="4">
        <v>4711</v>
      </c>
      <c r="B4714" s="5">
        <v>56667.428245615491</v>
      </c>
      <c r="C4714" s="19">
        <v>-29.61761572512091</v>
      </c>
      <c r="D4714" s="5">
        <v>81104.026303171617</v>
      </c>
      <c r="E4714" s="6">
        <v>43.122828782064673</v>
      </c>
    </row>
    <row r="4715" spans="1:5" x14ac:dyDescent="0.3">
      <c r="A4715" s="4">
        <v>4712</v>
      </c>
      <c r="B4715" s="5">
        <v>35899.310964168064</v>
      </c>
      <c r="C4715" s="19">
        <v>-55.412144547446395</v>
      </c>
      <c r="D4715" s="5">
        <v>68830.191157003559</v>
      </c>
      <c r="E4715" s="6">
        <v>91.731231904992754</v>
      </c>
    </row>
    <row r="4716" spans="1:5" x14ac:dyDescent="0.3">
      <c r="A4716" s="4">
        <v>4713</v>
      </c>
      <c r="B4716" s="5">
        <v>84958.288575757033</v>
      </c>
      <c r="C4716" s="19">
        <v>5.520350914065995</v>
      </c>
      <c r="D4716" s="5">
        <v>150130.00787897807</v>
      </c>
      <c r="E4716" s="6">
        <v>76.710254403380105</v>
      </c>
    </row>
    <row r="4717" spans="1:5" x14ac:dyDescent="0.3">
      <c r="A4717" s="4">
        <v>4714</v>
      </c>
      <c r="B4717" s="5">
        <v>38110.589858031533</v>
      </c>
      <c r="C4717" s="19">
        <v>-52.665680032200456</v>
      </c>
      <c r="D4717" s="5">
        <v>75296.125246167954</v>
      </c>
      <c r="E4717" s="6">
        <v>97.572710174937995</v>
      </c>
    </row>
    <row r="4718" spans="1:5" x14ac:dyDescent="0.3">
      <c r="A4718" s="4">
        <v>4715</v>
      </c>
      <c r="B4718" s="5">
        <v>80136.757664833014</v>
      </c>
      <c r="C4718" s="19">
        <v>-0.46811286260307572</v>
      </c>
      <c r="D4718" s="5">
        <v>138100.4547349202</v>
      </c>
      <c r="E4718" s="6">
        <v>72.3309736494665</v>
      </c>
    </row>
    <row r="4719" spans="1:5" x14ac:dyDescent="0.3">
      <c r="A4719" s="4">
        <v>4716</v>
      </c>
      <c r="B4719" s="5">
        <v>71906.65101875164</v>
      </c>
      <c r="C4719" s="19">
        <v>-10.690114222485754</v>
      </c>
      <c r="D4719" s="5">
        <v>124488.16705695086</v>
      </c>
      <c r="E4719" s="6">
        <v>73.124690544254577</v>
      </c>
    </row>
    <row r="4720" spans="1:5" x14ac:dyDescent="0.3">
      <c r="A4720" s="4">
        <v>4717</v>
      </c>
      <c r="B4720" s="5">
        <v>80354.418166269941</v>
      </c>
      <c r="C4720" s="19">
        <v>-0.19777299492464484</v>
      </c>
      <c r="D4720" s="5">
        <v>148563.35986439721</v>
      </c>
      <c r="E4720" s="6">
        <v>84.885116779750476</v>
      </c>
    </row>
    <row r="4721" spans="1:5" x14ac:dyDescent="0.3">
      <c r="A4721" s="4">
        <v>4718</v>
      </c>
      <c r="B4721" s="5">
        <v>92511.378270233996</v>
      </c>
      <c r="C4721" s="19">
        <v>14.901480035281025</v>
      </c>
      <c r="D4721" s="5">
        <v>146452.54088172206</v>
      </c>
      <c r="E4721" s="6">
        <v>58.307598070716352</v>
      </c>
    </row>
    <row r="4722" spans="1:5" x14ac:dyDescent="0.3">
      <c r="A4722" s="4">
        <v>4719</v>
      </c>
      <c r="B4722" s="5">
        <v>58769.446557657895</v>
      </c>
      <c r="C4722" s="19">
        <v>-27.006855625866748</v>
      </c>
      <c r="D4722" s="5">
        <v>112720.89955973603</v>
      </c>
      <c r="E4722" s="6">
        <v>91.801873528189702</v>
      </c>
    </row>
    <row r="4723" spans="1:5" x14ac:dyDescent="0.3">
      <c r="A4723" s="4">
        <v>4720</v>
      </c>
      <c r="B4723" s="5">
        <v>100277.70222368361</v>
      </c>
      <c r="C4723" s="19">
        <v>24.547451518682191</v>
      </c>
      <c r="D4723" s="5">
        <v>181345.53856950824</v>
      </c>
      <c r="E4723" s="6">
        <v>80.843332613457136</v>
      </c>
    </row>
    <row r="4724" spans="1:5" x14ac:dyDescent="0.3">
      <c r="A4724" s="4">
        <v>4721</v>
      </c>
      <c r="B4724" s="5">
        <v>92785.314352868212</v>
      </c>
      <c r="C4724" s="19">
        <v>15.241715603254031</v>
      </c>
      <c r="D4724" s="5">
        <v>197327.59067702841</v>
      </c>
      <c r="E4724" s="6">
        <v>112.67114527044609</v>
      </c>
    </row>
    <row r="4725" spans="1:5" x14ac:dyDescent="0.3">
      <c r="A4725" s="4">
        <v>4722</v>
      </c>
      <c r="B4725" s="5">
        <v>50967.801665586921</v>
      </c>
      <c r="C4725" s="19">
        <v>-36.696696611589829</v>
      </c>
      <c r="D4725" s="5">
        <v>85186.372337765482</v>
      </c>
      <c r="E4725" s="6">
        <v>67.137623271836517</v>
      </c>
    </row>
    <row r="4726" spans="1:5" x14ac:dyDescent="0.3">
      <c r="A4726" s="4">
        <v>4723</v>
      </c>
      <c r="B4726" s="5">
        <v>75206.692825977196</v>
      </c>
      <c r="C4726" s="19">
        <v>-6.5913785326887409</v>
      </c>
      <c r="D4726" s="5">
        <v>130832.81236677615</v>
      </c>
      <c r="E4726" s="6">
        <v>73.964320794578413</v>
      </c>
    </row>
    <row r="4727" spans="1:5" x14ac:dyDescent="0.3">
      <c r="A4727" s="4">
        <v>4724</v>
      </c>
      <c r="B4727" s="5">
        <v>62904.093695910233</v>
      </c>
      <c r="C4727" s="19">
        <v>-21.871518930081173</v>
      </c>
      <c r="D4727" s="5">
        <v>119569.7286546227</v>
      </c>
      <c r="E4727" s="6">
        <v>90.082587045358906</v>
      </c>
    </row>
    <row r="4728" spans="1:5" x14ac:dyDescent="0.3">
      <c r="A4728" s="4">
        <v>4725</v>
      </c>
      <c r="B4728" s="5">
        <v>78966.568175227934</v>
      </c>
      <c r="C4728" s="19">
        <v>-1.9215179117051908</v>
      </c>
      <c r="D4728" s="5">
        <v>135436.98727111475</v>
      </c>
      <c r="E4728" s="6">
        <v>71.511806072891702</v>
      </c>
    </row>
    <row r="4729" spans="1:5" x14ac:dyDescent="0.3">
      <c r="A4729" s="4">
        <v>4726</v>
      </c>
      <c r="B4729" s="5">
        <v>84295.210293989148</v>
      </c>
      <c r="C4729" s="19">
        <v>4.6967908571416768</v>
      </c>
      <c r="D4729" s="5">
        <v>149697.57228203723</v>
      </c>
      <c r="E4729" s="6">
        <v>77.587281365038294</v>
      </c>
    </row>
    <row r="4730" spans="1:5" x14ac:dyDescent="0.3">
      <c r="A4730" s="4">
        <v>4727</v>
      </c>
      <c r="B4730" s="5">
        <v>55177.910183507753</v>
      </c>
      <c r="C4730" s="19">
        <v>-31.467634966813801</v>
      </c>
      <c r="D4730" s="5">
        <v>119681.03923671272</v>
      </c>
      <c r="E4730" s="6">
        <v>116.90027556078854</v>
      </c>
    </row>
    <row r="4731" spans="1:5" x14ac:dyDescent="0.3">
      <c r="A4731" s="4">
        <v>4728</v>
      </c>
      <c r="B4731" s="5">
        <v>49464.116782039026</v>
      </c>
      <c r="C4731" s="19">
        <v>-38.564311405108953</v>
      </c>
      <c r="D4731" s="5">
        <v>97072.098679119983</v>
      </c>
      <c r="E4731" s="6">
        <v>96.247512326689204</v>
      </c>
    </row>
    <row r="4732" spans="1:5" x14ac:dyDescent="0.3">
      <c r="A4732" s="4">
        <v>4729</v>
      </c>
      <c r="B4732" s="5">
        <v>107401.12384432404</v>
      </c>
      <c r="C4732" s="19">
        <v>33.394921985893468</v>
      </c>
      <c r="D4732" s="5">
        <v>173645.87135009666</v>
      </c>
      <c r="E4732" s="6">
        <v>61.679752626977312</v>
      </c>
    </row>
    <row r="4733" spans="1:5" x14ac:dyDescent="0.3">
      <c r="A4733" s="4">
        <v>4730</v>
      </c>
      <c r="B4733" s="5">
        <v>69130.357945831318</v>
      </c>
      <c r="C4733" s="19">
        <v>-14.138340689920012</v>
      </c>
      <c r="D4733" s="5">
        <v>137275.52891058012</v>
      </c>
      <c r="E4733" s="6">
        <v>98.57488517294459</v>
      </c>
    </row>
    <row r="4734" spans="1:5" x14ac:dyDescent="0.3">
      <c r="A4734" s="4">
        <v>4731</v>
      </c>
      <c r="B4734" s="5">
        <v>42758.640068404216</v>
      </c>
      <c r="C4734" s="19">
        <v>-46.892683689090525</v>
      </c>
      <c r="D4734" s="5">
        <v>89220.6992691255</v>
      </c>
      <c r="E4734" s="6">
        <v>108.66121823891599</v>
      </c>
    </row>
    <row r="4735" spans="1:5" x14ac:dyDescent="0.3">
      <c r="A4735" s="4">
        <v>4732</v>
      </c>
      <c r="B4735" s="5">
        <v>53004.995041244794</v>
      </c>
      <c r="C4735" s="19">
        <v>-34.166450728781754</v>
      </c>
      <c r="D4735" s="5">
        <v>110003.16863867664</v>
      </c>
      <c r="E4735" s="6">
        <v>107.53358915151267</v>
      </c>
    </row>
    <row r="4736" spans="1:5" x14ac:dyDescent="0.3">
      <c r="A4736" s="4">
        <v>4733</v>
      </c>
      <c r="B4736" s="5">
        <v>97541.750314037723</v>
      </c>
      <c r="C4736" s="19">
        <v>21.149329800017732</v>
      </c>
      <c r="D4736" s="5">
        <v>188376.63398865162</v>
      </c>
      <c r="E4736" s="6">
        <v>93.124106736006965</v>
      </c>
    </row>
    <row r="4737" spans="1:5" x14ac:dyDescent="0.3">
      <c r="A4737" s="4">
        <v>4734</v>
      </c>
      <c r="B4737" s="5">
        <v>47558.998381155521</v>
      </c>
      <c r="C4737" s="19">
        <v>-40.930516816777704</v>
      </c>
      <c r="D4737" s="5">
        <v>89579.941372669404</v>
      </c>
      <c r="E4737" s="6">
        <v>88.35539944458543</v>
      </c>
    </row>
    <row r="4738" spans="1:5" x14ac:dyDescent="0.3">
      <c r="A4738" s="4">
        <v>4735</v>
      </c>
      <c r="B4738" s="5">
        <v>53558.517616561439</v>
      </c>
      <c r="C4738" s="19">
        <v>-33.478961640131061</v>
      </c>
      <c r="D4738" s="5">
        <v>106401.08893303997</v>
      </c>
      <c r="E4738" s="6">
        <v>98.663244742491656</v>
      </c>
    </row>
    <row r="4739" spans="1:5" x14ac:dyDescent="0.3">
      <c r="A4739" s="4">
        <v>4736</v>
      </c>
      <c r="B4739" s="5">
        <v>42088.555197942973</v>
      </c>
      <c r="C4739" s="19">
        <v>-47.724946107020791</v>
      </c>
      <c r="D4739" s="5">
        <v>74052.252519598129</v>
      </c>
      <c r="E4739" s="6">
        <v>75.943916752023227</v>
      </c>
    </row>
    <row r="4740" spans="1:5" x14ac:dyDescent="0.3">
      <c r="A4740" s="4">
        <v>4737</v>
      </c>
      <c r="B4740" s="5">
        <v>108237.31412834617</v>
      </c>
      <c r="C4740" s="19">
        <v>34.43349154373324</v>
      </c>
      <c r="D4740" s="5">
        <v>196857.50795183517</v>
      </c>
      <c r="E4740" s="6">
        <v>81.875824928919158</v>
      </c>
    </row>
    <row r="4741" spans="1:5" x14ac:dyDescent="0.3">
      <c r="A4741" s="4">
        <v>4738</v>
      </c>
      <c r="B4741" s="5">
        <v>43885.818936568001</v>
      </c>
      <c r="C4741" s="19">
        <v>-45.492698923560511</v>
      </c>
      <c r="D4741" s="5">
        <v>97947.409974795373</v>
      </c>
      <c r="E4741" s="6">
        <v>123.1869254083359</v>
      </c>
    </row>
    <row r="4742" spans="1:5" x14ac:dyDescent="0.3">
      <c r="A4742" s="4">
        <v>4739</v>
      </c>
      <c r="B4742" s="5">
        <v>91274.601063902141</v>
      </c>
      <c r="C4742" s="19">
        <v>13.365371351802963</v>
      </c>
      <c r="D4742" s="5">
        <v>170703.01571758947</v>
      </c>
      <c r="E4742" s="6">
        <v>87.021376952476416</v>
      </c>
    </row>
    <row r="4743" spans="1:5" x14ac:dyDescent="0.3">
      <c r="A4743" s="4">
        <v>4740</v>
      </c>
      <c r="B4743" s="5">
        <v>65993.807904940404</v>
      </c>
      <c r="C4743" s="19">
        <v>-18.03401545600493</v>
      </c>
      <c r="D4743" s="5">
        <v>118173.78968446859</v>
      </c>
      <c r="E4743" s="6">
        <v>79.067996583391434</v>
      </c>
    </row>
    <row r="4744" spans="1:5" x14ac:dyDescent="0.3">
      <c r="A4744" s="4">
        <v>4741</v>
      </c>
      <c r="B4744" s="5">
        <v>57420.855351751103</v>
      </c>
      <c r="C4744" s="19">
        <v>-28.681840135000503</v>
      </c>
      <c r="D4744" s="5">
        <v>113276.52942149993</v>
      </c>
      <c r="E4744" s="6">
        <v>97.274193718616303</v>
      </c>
    </row>
    <row r="4745" spans="1:5" x14ac:dyDescent="0.3">
      <c r="A4745" s="4">
        <v>4742</v>
      </c>
      <c r="B4745" s="5">
        <v>51606.202911748835</v>
      </c>
      <c r="C4745" s="19">
        <v>-35.903786059267276</v>
      </c>
      <c r="D4745" s="5">
        <v>100155.24537248965</v>
      </c>
      <c r="E4745" s="6">
        <v>94.075982578613591</v>
      </c>
    </row>
    <row r="4746" spans="1:5" x14ac:dyDescent="0.3">
      <c r="A4746" s="4">
        <v>4743</v>
      </c>
      <c r="B4746" s="5">
        <v>66242.547377410359</v>
      </c>
      <c r="C4746" s="19">
        <v>-17.725074717423492</v>
      </c>
      <c r="D4746" s="5">
        <v>110054.91436689242</v>
      </c>
      <c r="E4746" s="6">
        <v>66.139314872457177</v>
      </c>
    </row>
    <row r="4747" spans="1:5" x14ac:dyDescent="0.3">
      <c r="A4747" s="4">
        <v>4744</v>
      </c>
      <c r="B4747" s="5">
        <v>127006.74887158826</v>
      </c>
      <c r="C4747" s="19">
        <v>57.745605920890341</v>
      </c>
      <c r="D4747" s="5">
        <v>211772.47164883895</v>
      </c>
      <c r="E4747" s="6">
        <v>66.741116933049057</v>
      </c>
    </row>
    <row r="4748" spans="1:5" x14ac:dyDescent="0.3">
      <c r="A4748" s="4">
        <v>4745</v>
      </c>
      <c r="B4748" s="5">
        <v>40133.92028447034</v>
      </c>
      <c r="C4748" s="19">
        <v>-50.152652284206802</v>
      </c>
      <c r="D4748" s="5">
        <v>73582.771899625513</v>
      </c>
      <c r="E4748" s="6">
        <v>83.343095760565589</v>
      </c>
    </row>
    <row r="4749" spans="1:5" x14ac:dyDescent="0.3">
      <c r="A4749" s="4">
        <v>4746</v>
      </c>
      <c r="B4749" s="5">
        <v>23992.002230876849</v>
      </c>
      <c r="C4749" s="19">
        <v>-70.201324238355852</v>
      </c>
      <c r="D4749" s="5">
        <v>44548.370592953783</v>
      </c>
      <c r="E4749" s="6">
        <v>85.680086906717705</v>
      </c>
    </row>
    <row r="4750" spans="1:5" x14ac:dyDescent="0.3">
      <c r="A4750" s="4">
        <v>4747</v>
      </c>
      <c r="B4750" s="5">
        <v>43109.618826698585</v>
      </c>
      <c r="C4750" s="19">
        <v>-46.45675916236727</v>
      </c>
      <c r="D4750" s="5">
        <v>84024.107305978818</v>
      </c>
      <c r="E4750" s="6">
        <v>94.908026544510136</v>
      </c>
    </row>
    <row r="4751" spans="1:5" x14ac:dyDescent="0.3">
      <c r="A4751" s="4">
        <v>4748</v>
      </c>
      <c r="B4751" s="5">
        <v>18924.340787865673</v>
      </c>
      <c r="C4751" s="19">
        <v>-76.495488383427983</v>
      </c>
      <c r="D4751" s="5">
        <v>35813.458824445217</v>
      </c>
      <c r="E4751" s="6">
        <v>89.245476108784104</v>
      </c>
    </row>
    <row r="4752" spans="1:5" x14ac:dyDescent="0.3">
      <c r="A4752" s="4">
        <v>4749</v>
      </c>
      <c r="B4752" s="5">
        <v>60067.635763939179</v>
      </c>
      <c r="C4752" s="19">
        <v>-25.394471679625831</v>
      </c>
      <c r="D4752" s="5">
        <v>123837.97213418737</v>
      </c>
      <c r="E4752" s="6">
        <v>106.16421898284847</v>
      </c>
    </row>
    <row r="4753" spans="1:5" x14ac:dyDescent="0.3">
      <c r="A4753" s="4">
        <v>4750</v>
      </c>
      <c r="B4753" s="5">
        <v>35656.45876010639</v>
      </c>
      <c r="C4753" s="19">
        <v>-55.713773149227741</v>
      </c>
      <c r="D4753" s="5">
        <v>76210.884220685693</v>
      </c>
      <c r="E4753" s="6">
        <v>113.73654835839424</v>
      </c>
    </row>
    <row r="4754" spans="1:5" x14ac:dyDescent="0.3">
      <c r="A4754" s="4">
        <v>4751</v>
      </c>
      <c r="B4754" s="5">
        <v>49142.305789313708</v>
      </c>
      <c r="C4754" s="19">
        <v>-38.964008826627747</v>
      </c>
      <c r="D4754" s="5">
        <v>99735.14340533159</v>
      </c>
      <c r="E4754" s="6">
        <v>102.951696717128</v>
      </c>
    </row>
    <row r="4755" spans="1:5" x14ac:dyDescent="0.3">
      <c r="A4755" s="4">
        <v>4752</v>
      </c>
      <c r="B4755" s="5">
        <v>70244.221861240323</v>
      </c>
      <c r="C4755" s="19">
        <v>-12.754893433685938</v>
      </c>
      <c r="D4755" s="5">
        <v>130358.90660293875</v>
      </c>
      <c r="E4755" s="6">
        <v>85.579543980782248</v>
      </c>
    </row>
    <row r="4756" spans="1:5" x14ac:dyDescent="0.3">
      <c r="A4756" s="4">
        <v>4753</v>
      </c>
      <c r="B4756" s="5">
        <v>63224.801769989121</v>
      </c>
      <c r="C4756" s="19">
        <v>-21.473191361516719</v>
      </c>
      <c r="D4756" s="5">
        <v>132964.23199413254</v>
      </c>
      <c r="E4756" s="6">
        <v>110.30391281866636</v>
      </c>
    </row>
    <row r="4757" spans="1:5" x14ac:dyDescent="0.3">
      <c r="A4757" s="4">
        <v>4754</v>
      </c>
      <c r="B4757" s="5">
        <v>48787.599766698884</v>
      </c>
      <c r="C4757" s="19">
        <v>-39.404562710246452</v>
      </c>
      <c r="D4757" s="5">
        <v>101913.02253119031</v>
      </c>
      <c r="E4757" s="6">
        <v>108.89124084508339</v>
      </c>
    </row>
    <row r="4758" spans="1:5" x14ac:dyDescent="0.3">
      <c r="A4758" s="4">
        <v>4755</v>
      </c>
      <c r="B4758" s="5">
        <v>77341.599666479698</v>
      </c>
      <c r="C4758" s="19">
        <v>-3.9397700462750103</v>
      </c>
      <c r="D4758" s="5">
        <v>128791.84701249993</v>
      </c>
      <c r="E4758" s="6">
        <v>66.523381424600998</v>
      </c>
    </row>
    <row r="4759" spans="1:5" x14ac:dyDescent="0.3">
      <c r="A4759" s="4">
        <v>4756</v>
      </c>
      <c r="B4759" s="5">
        <v>33341.935289292276</v>
      </c>
      <c r="C4759" s="19">
        <v>-58.588470049711674</v>
      </c>
      <c r="D4759" s="5">
        <v>64584.535270454478</v>
      </c>
      <c r="E4759" s="6">
        <v>93.703618911394528</v>
      </c>
    </row>
    <row r="4760" spans="1:5" x14ac:dyDescent="0.3">
      <c r="A4760" s="4">
        <v>4757</v>
      </c>
      <c r="B4760" s="5">
        <v>48461.602567580354</v>
      </c>
      <c r="C4760" s="19">
        <v>-39.809459506364419</v>
      </c>
      <c r="D4760" s="5">
        <v>92508.9320282353</v>
      </c>
      <c r="E4760" s="6">
        <v>90.891194527111139</v>
      </c>
    </row>
    <row r="4761" spans="1:5" x14ac:dyDescent="0.3">
      <c r="A4761" s="4">
        <v>4758</v>
      </c>
      <c r="B4761" s="5">
        <v>131590.79561804357</v>
      </c>
      <c r="C4761" s="19">
        <v>63.439108337209895</v>
      </c>
      <c r="D4761" s="5">
        <v>264437.94289093878</v>
      </c>
      <c r="E4761" s="6">
        <v>100.9547412863878</v>
      </c>
    </row>
    <row r="4762" spans="1:5" x14ac:dyDescent="0.3">
      <c r="A4762" s="4">
        <v>4759</v>
      </c>
      <c r="B4762" s="5">
        <v>111845.66990821702</v>
      </c>
      <c r="C4762" s="19">
        <v>38.915161013513725</v>
      </c>
      <c r="D4762" s="5">
        <v>218937.32899168553</v>
      </c>
      <c r="E4762" s="6">
        <v>95.749490500034767</v>
      </c>
    </row>
    <row r="4763" spans="1:5" x14ac:dyDescent="0.3">
      <c r="A4763" s="4">
        <v>4760</v>
      </c>
      <c r="B4763" s="5">
        <v>67283.548475306612</v>
      </c>
      <c r="C4763" s="19">
        <v>-16.432124930022933</v>
      </c>
      <c r="D4763" s="5">
        <v>133604.16921425122</v>
      </c>
      <c r="E4763" s="6">
        <v>98.56885114090646</v>
      </c>
    </row>
    <row r="4764" spans="1:5" x14ac:dyDescent="0.3">
      <c r="A4764" s="4">
        <v>4761</v>
      </c>
      <c r="B4764" s="5">
        <v>97540.292557611188</v>
      </c>
      <c r="C4764" s="19">
        <v>21.147519229533629</v>
      </c>
      <c r="D4764" s="5">
        <v>154012.91049137345</v>
      </c>
      <c r="E4764" s="6">
        <v>57.89670755847618</v>
      </c>
    </row>
    <row r="4765" spans="1:5" x14ac:dyDescent="0.3">
      <c r="A4765" s="4">
        <v>4762</v>
      </c>
      <c r="B4765" s="5">
        <v>71235.203315131061</v>
      </c>
      <c r="C4765" s="19">
        <v>-11.524069313792818</v>
      </c>
      <c r="D4765" s="5">
        <v>129077.68217593773</v>
      </c>
      <c r="E4765" s="6">
        <v>81.199289352656848</v>
      </c>
    </row>
    <row r="4766" spans="1:5" x14ac:dyDescent="0.3">
      <c r="A4766" s="4">
        <v>4763</v>
      </c>
      <c r="B4766" s="5">
        <v>139303.45053335399</v>
      </c>
      <c r="C4766" s="19">
        <v>73.018421512956721</v>
      </c>
      <c r="D4766" s="5">
        <v>210276.5246913665</v>
      </c>
      <c r="E4766" s="6">
        <v>50.948539958110473</v>
      </c>
    </row>
    <row r="4767" spans="1:5" x14ac:dyDescent="0.3">
      <c r="A4767" s="4">
        <v>4764</v>
      </c>
      <c r="B4767" s="5">
        <v>37246.993418083679</v>
      </c>
      <c r="C4767" s="19">
        <v>-53.738288731352604</v>
      </c>
      <c r="D4767" s="5">
        <v>74877.348104848788</v>
      </c>
      <c r="E4767" s="6">
        <v>101.02924084201466</v>
      </c>
    </row>
    <row r="4768" spans="1:5" x14ac:dyDescent="0.3">
      <c r="A4768" s="4">
        <v>4765</v>
      </c>
      <c r="B4768" s="5">
        <v>91017.016753128715</v>
      </c>
      <c r="C4768" s="19">
        <v>13.045445099539382</v>
      </c>
      <c r="D4768" s="5">
        <v>157005.82687585344</v>
      </c>
      <c r="E4768" s="6">
        <v>72.50161835309369</v>
      </c>
    </row>
    <row r="4769" spans="1:5" x14ac:dyDescent="0.3">
      <c r="A4769" s="4">
        <v>4766</v>
      </c>
      <c r="B4769" s="5">
        <v>46486.317105515758</v>
      </c>
      <c r="C4769" s="19">
        <v>-42.262814189076167</v>
      </c>
      <c r="D4769" s="5">
        <v>87435.673689554329</v>
      </c>
      <c r="E4769" s="6">
        <v>88.089053153190733</v>
      </c>
    </row>
    <row r="4770" spans="1:5" x14ac:dyDescent="0.3">
      <c r="A4770" s="4">
        <v>4767</v>
      </c>
      <c r="B4770" s="5">
        <v>25479.171477196036</v>
      </c>
      <c r="C4770" s="19">
        <v>-68.354222285492511</v>
      </c>
      <c r="D4770" s="5">
        <v>45355.376359346119</v>
      </c>
      <c r="E4770" s="6">
        <v>78.009620132033604</v>
      </c>
    </row>
    <row r="4771" spans="1:5" x14ac:dyDescent="0.3">
      <c r="A4771" s="4">
        <v>4768</v>
      </c>
      <c r="B4771" s="5">
        <v>78066.871169101316</v>
      </c>
      <c r="C4771" s="19">
        <v>-3.0389644303948993</v>
      </c>
      <c r="D4771" s="5">
        <v>136741.70670551591</v>
      </c>
      <c r="E4771" s="6">
        <v>75.159711997831366</v>
      </c>
    </row>
    <row r="4772" spans="1:5" x14ac:dyDescent="0.3">
      <c r="A4772" s="4">
        <v>4769</v>
      </c>
      <c r="B4772" s="5">
        <v>26748.063128903748</v>
      </c>
      <c r="C4772" s="19">
        <v>-66.778226645694133</v>
      </c>
      <c r="D4772" s="5">
        <v>47280.221903597383</v>
      </c>
      <c r="E4772" s="6">
        <v>76.761291745669396</v>
      </c>
    </row>
    <row r="4773" spans="1:5" x14ac:dyDescent="0.3">
      <c r="A4773" s="4">
        <v>4770</v>
      </c>
      <c r="B4773" s="5">
        <v>41188.968216798021</v>
      </c>
      <c r="C4773" s="19">
        <v>-48.842255971890495</v>
      </c>
      <c r="D4773" s="5">
        <v>78773.566051755537</v>
      </c>
      <c r="E4773" s="6">
        <v>91.249185066086355</v>
      </c>
    </row>
    <row r="4774" spans="1:5" x14ac:dyDescent="0.3">
      <c r="A4774" s="4">
        <v>4771</v>
      </c>
      <c r="B4774" s="5">
        <v>34261.477509787299</v>
      </c>
      <c r="C4774" s="19">
        <v>-57.446375271043749</v>
      </c>
      <c r="D4774" s="5">
        <v>60417.011378910611</v>
      </c>
      <c r="E4774" s="6">
        <v>76.340939650520312</v>
      </c>
    </row>
    <row r="4775" spans="1:5" x14ac:dyDescent="0.3">
      <c r="A4775" s="4">
        <v>4772</v>
      </c>
      <c r="B4775" s="5">
        <v>69916.031255306414</v>
      </c>
      <c r="C4775" s="19">
        <v>-13.162514496744027</v>
      </c>
      <c r="D4775" s="5">
        <v>126866.0866196425</v>
      </c>
      <c r="E4775" s="6">
        <v>81.454931496864319</v>
      </c>
    </row>
    <row r="4776" spans="1:5" x14ac:dyDescent="0.3">
      <c r="A4776" s="4">
        <v>4773</v>
      </c>
      <c r="B4776" s="5">
        <v>69169.514712420074</v>
      </c>
      <c r="C4776" s="19">
        <v>-14.089706991897465</v>
      </c>
      <c r="D4776" s="5">
        <v>131224.55204272375</v>
      </c>
      <c r="E4776" s="6">
        <v>89.714432128524209</v>
      </c>
    </row>
    <row r="4777" spans="1:5" x14ac:dyDescent="0.3">
      <c r="A4777" s="4">
        <v>4774</v>
      </c>
      <c r="B4777" s="5">
        <v>74799.772970413091</v>
      </c>
      <c r="C4777" s="19">
        <v>-7.0967833221783199</v>
      </c>
      <c r="D4777" s="5">
        <v>126086.02355664612</v>
      </c>
      <c r="E4777" s="6">
        <v>68.564714235856314</v>
      </c>
    </row>
    <row r="4778" spans="1:5" x14ac:dyDescent="0.3">
      <c r="A4778" s="4">
        <v>4775</v>
      </c>
      <c r="B4778" s="5">
        <v>53085.556173005061</v>
      </c>
      <c r="C4778" s="19">
        <v>-34.066391758245906</v>
      </c>
      <c r="D4778" s="5">
        <v>90498.641956691892</v>
      </c>
      <c r="E4778" s="6">
        <v>70.476959234934128</v>
      </c>
    </row>
    <row r="4779" spans="1:5" x14ac:dyDescent="0.3">
      <c r="A4779" s="4">
        <v>4776</v>
      </c>
      <c r="B4779" s="5">
        <v>51688.717813151743</v>
      </c>
      <c r="C4779" s="19">
        <v>-35.801300457242583</v>
      </c>
      <c r="D4779" s="5">
        <v>107193.732950561</v>
      </c>
      <c r="E4779" s="6">
        <v>107.38323078172097</v>
      </c>
    </row>
    <row r="4780" spans="1:5" x14ac:dyDescent="0.3">
      <c r="A4780" s="4">
        <v>4777</v>
      </c>
      <c r="B4780" s="5">
        <v>63840.696481610685</v>
      </c>
      <c r="C4780" s="19">
        <v>-20.708234496378434</v>
      </c>
      <c r="D4780" s="5">
        <v>122419.16040159549</v>
      </c>
      <c r="E4780" s="6">
        <v>91.757244435543299</v>
      </c>
    </row>
    <row r="4781" spans="1:5" x14ac:dyDescent="0.3">
      <c r="A4781" s="4">
        <v>4778</v>
      </c>
      <c r="B4781" s="5">
        <v>97942.726263699529</v>
      </c>
      <c r="C4781" s="19">
        <v>21.647352107502023</v>
      </c>
      <c r="D4781" s="5">
        <v>170357.38115015824</v>
      </c>
      <c r="E4781" s="6">
        <v>73.935714931490253</v>
      </c>
    </row>
    <row r="4782" spans="1:5" x14ac:dyDescent="0.3">
      <c r="A4782" s="4">
        <v>4779</v>
      </c>
      <c r="B4782" s="5">
        <v>57362.783028087804</v>
      </c>
      <c r="C4782" s="19">
        <v>-28.753967435044714</v>
      </c>
      <c r="D4782" s="5">
        <v>111766.82635545141</v>
      </c>
      <c r="E4782" s="6">
        <v>94.842056914715172</v>
      </c>
    </row>
    <row r="4783" spans="1:5" x14ac:dyDescent="0.3">
      <c r="A4783" s="4">
        <v>4780</v>
      </c>
      <c r="B4783" s="5">
        <v>36069.826774621899</v>
      </c>
      <c r="C4783" s="19">
        <v>-55.200359582646399</v>
      </c>
      <c r="D4783" s="5">
        <v>74938.299807976204</v>
      </c>
      <c r="E4783" s="6">
        <v>107.75896783818627</v>
      </c>
    </row>
    <row r="4784" spans="1:5" x14ac:dyDescent="0.3">
      <c r="A4784" s="4">
        <v>4781</v>
      </c>
      <c r="B4784" s="5">
        <v>52350.565570637948</v>
      </c>
      <c r="C4784" s="19">
        <v>-34.979268742710609</v>
      </c>
      <c r="D4784" s="5">
        <v>96664.304766242072</v>
      </c>
      <c r="E4784" s="6">
        <v>84.648061988576742</v>
      </c>
    </row>
    <row r="4785" spans="1:5" x14ac:dyDescent="0.3">
      <c r="A4785" s="4">
        <v>4782</v>
      </c>
      <c r="B4785" s="5">
        <v>28456.433252520073</v>
      </c>
      <c r="C4785" s="19">
        <v>-64.656387588468348</v>
      </c>
      <c r="D4785" s="5">
        <v>63314.092730227516</v>
      </c>
      <c r="E4785" s="6">
        <v>122.49482979255836</v>
      </c>
    </row>
    <row r="4786" spans="1:5" x14ac:dyDescent="0.3">
      <c r="A4786" s="4">
        <v>4783</v>
      </c>
      <c r="B4786" s="5">
        <v>65314.424857053811</v>
      </c>
      <c r="C4786" s="19">
        <v>-18.877826446313854</v>
      </c>
      <c r="D4786" s="5">
        <v>123682.83316331083</v>
      </c>
      <c r="E4786" s="6">
        <v>89.365264157192328</v>
      </c>
    </row>
    <row r="4787" spans="1:5" x14ac:dyDescent="0.3">
      <c r="A4787" s="4">
        <v>4784</v>
      </c>
      <c r="B4787" s="5">
        <v>77903.402271339626</v>
      </c>
      <c r="C4787" s="19">
        <v>-3.2419969507589124</v>
      </c>
      <c r="D4787" s="5">
        <v>143211.31071056053</v>
      </c>
      <c r="E4787" s="6">
        <v>83.831907895051515</v>
      </c>
    </row>
    <row r="4788" spans="1:5" x14ac:dyDescent="0.3">
      <c r="A4788" s="4">
        <v>4785</v>
      </c>
      <c r="B4788" s="5">
        <v>46445.118582520437</v>
      </c>
      <c r="C4788" s="19">
        <v>-42.313983800381735</v>
      </c>
      <c r="D4788" s="5">
        <v>84898.469347308084</v>
      </c>
      <c r="E4788" s="6">
        <v>82.793094168693798</v>
      </c>
    </row>
    <row r="4789" spans="1:5" x14ac:dyDescent="0.3">
      <c r="A4789" s="4">
        <v>4786</v>
      </c>
      <c r="B4789" s="5">
        <v>43542.778764402501</v>
      </c>
      <c r="C4789" s="19">
        <v>-45.918763524805954</v>
      </c>
      <c r="D4789" s="5">
        <v>93139.148649076582</v>
      </c>
      <c r="E4789" s="6">
        <v>113.90262930399051</v>
      </c>
    </row>
    <row r="4790" spans="1:5" x14ac:dyDescent="0.3">
      <c r="A4790" s="4">
        <v>4787</v>
      </c>
      <c r="B4790" s="5">
        <v>39865.784682399761</v>
      </c>
      <c r="C4790" s="19">
        <v>-50.485683508085714</v>
      </c>
      <c r="D4790" s="5">
        <v>83630.543552679461</v>
      </c>
      <c r="E4790" s="6">
        <v>109.78025196027632</v>
      </c>
    </row>
    <row r="4791" spans="1:5" x14ac:dyDescent="0.3">
      <c r="A4791" s="4">
        <v>4788</v>
      </c>
      <c r="B4791" s="5">
        <v>49201.116996890829</v>
      </c>
      <c r="C4791" s="19">
        <v>-38.890963814007414</v>
      </c>
      <c r="D4791" s="5">
        <v>92378.215298489711</v>
      </c>
      <c r="E4791" s="6">
        <v>87.756337532595808</v>
      </c>
    </row>
    <row r="4792" spans="1:5" x14ac:dyDescent="0.3">
      <c r="A4792" s="4">
        <v>4789</v>
      </c>
      <c r="B4792" s="5">
        <v>39853.169962688298</v>
      </c>
      <c r="C4792" s="19">
        <v>-50.501351310167777</v>
      </c>
      <c r="D4792" s="5">
        <v>76944.864458497061</v>
      </c>
      <c r="E4792" s="6">
        <v>93.070876245315219</v>
      </c>
    </row>
    <row r="4793" spans="1:5" x14ac:dyDescent="0.3">
      <c r="A4793" s="4">
        <v>4790</v>
      </c>
      <c r="B4793" s="5">
        <v>41969.078680921397</v>
      </c>
      <c r="C4793" s="19">
        <v>-47.873338973843495</v>
      </c>
      <c r="D4793" s="5">
        <v>78840.735913052762</v>
      </c>
      <c r="E4793" s="6">
        <v>87.854340364380562</v>
      </c>
    </row>
    <row r="4794" spans="1:5" x14ac:dyDescent="0.3">
      <c r="A4794" s="4">
        <v>4791</v>
      </c>
      <c r="B4794" s="5">
        <v>29072.091565833929</v>
      </c>
      <c r="C4794" s="19">
        <v>-63.891724336028744</v>
      </c>
      <c r="D4794" s="5">
        <v>60429.687808788192</v>
      </c>
      <c r="E4794" s="6">
        <v>107.86150756282807</v>
      </c>
    </row>
    <row r="4795" spans="1:5" x14ac:dyDescent="0.3">
      <c r="A4795" s="4">
        <v>4792</v>
      </c>
      <c r="B4795" s="5">
        <v>107138.81131101456</v>
      </c>
      <c r="C4795" s="19">
        <v>33.06912316122326</v>
      </c>
      <c r="D4795" s="5">
        <v>199028.67923400793</v>
      </c>
      <c r="E4795" s="6">
        <v>85.767115388507662</v>
      </c>
    </row>
    <row r="4796" spans="1:5" x14ac:dyDescent="0.3">
      <c r="A4796" s="4">
        <v>4793</v>
      </c>
      <c r="B4796" s="5">
        <v>76590.360421673846</v>
      </c>
      <c r="C4796" s="19">
        <v>-4.8728282570892008</v>
      </c>
      <c r="D4796" s="5">
        <v>149184.30942334604</v>
      </c>
      <c r="E4796" s="6">
        <v>94.78209607841103</v>
      </c>
    </row>
    <row r="4797" spans="1:5" x14ac:dyDescent="0.3">
      <c r="A4797" s="4">
        <v>4794</v>
      </c>
      <c r="B4797" s="5">
        <v>63303.636196117695</v>
      </c>
      <c r="C4797" s="19">
        <v>-21.375277003204541</v>
      </c>
      <c r="D4797" s="5">
        <v>118811.58570244625</v>
      </c>
      <c r="E4797" s="6">
        <v>87.685246601573198</v>
      </c>
    </row>
    <row r="4798" spans="1:5" x14ac:dyDescent="0.3">
      <c r="A4798" s="4">
        <v>4795</v>
      </c>
      <c r="B4798" s="5">
        <v>75514.528393507644</v>
      </c>
      <c r="C4798" s="19">
        <v>-6.2090389440013025</v>
      </c>
      <c r="D4798" s="5">
        <v>135840.38064422898</v>
      </c>
      <c r="E4798" s="6">
        <v>79.886418592674218</v>
      </c>
    </row>
    <row r="4799" spans="1:5" x14ac:dyDescent="0.3">
      <c r="A4799" s="4">
        <v>4796</v>
      </c>
      <c r="B4799" s="5">
        <v>39184.411000093722</v>
      </c>
      <c r="C4799" s="19">
        <v>-51.33196691687202</v>
      </c>
      <c r="D4799" s="5">
        <v>88951.272947332502</v>
      </c>
      <c r="E4799" s="6">
        <v>127.00678835550123</v>
      </c>
    </row>
    <row r="4800" spans="1:5" x14ac:dyDescent="0.3">
      <c r="A4800" s="4">
        <v>4797</v>
      </c>
      <c r="B4800" s="5">
        <v>137354.06539466215</v>
      </c>
      <c r="C4800" s="19">
        <v>70.597235689303901</v>
      </c>
      <c r="D4800" s="5">
        <v>257565.6699988044</v>
      </c>
      <c r="E4800" s="6">
        <v>87.519509712898468</v>
      </c>
    </row>
    <row r="4801" spans="1:5" x14ac:dyDescent="0.3">
      <c r="A4801" s="4">
        <v>4798</v>
      </c>
      <c r="B4801" s="5">
        <v>61538.540605786613</v>
      </c>
      <c r="C4801" s="19">
        <v>-23.567570529957077</v>
      </c>
      <c r="D4801" s="5">
        <v>112762.29956396768</v>
      </c>
      <c r="E4801" s="6">
        <v>83.238501358552497</v>
      </c>
    </row>
    <row r="4802" spans="1:5" x14ac:dyDescent="0.3">
      <c r="A4802" s="4">
        <v>4799</v>
      </c>
      <c r="B4802" s="5">
        <v>60712.43705559463</v>
      </c>
      <c r="C4802" s="19">
        <v>-24.593612108347443</v>
      </c>
      <c r="D4802" s="5">
        <v>118577.95388751679</v>
      </c>
      <c r="E4802" s="6">
        <v>95.310812146997932</v>
      </c>
    </row>
    <row r="4803" spans="1:5" x14ac:dyDescent="0.3">
      <c r="A4803" s="4">
        <v>4800</v>
      </c>
      <c r="B4803" s="5">
        <v>50985.906139164232</v>
      </c>
      <c r="C4803" s="19">
        <v>-36.674210395859525</v>
      </c>
      <c r="D4803" s="5">
        <v>82668.264059739449</v>
      </c>
      <c r="E4803" s="6">
        <v>62.13944268068775</v>
      </c>
    </row>
    <row r="4804" spans="1:5" x14ac:dyDescent="0.3">
      <c r="A4804" s="4">
        <v>4801</v>
      </c>
      <c r="B4804" s="5">
        <v>72144.132642405923</v>
      </c>
      <c r="C4804" s="19">
        <v>-10.39515601789225</v>
      </c>
      <c r="D4804" s="5">
        <v>143078.39730431861</v>
      </c>
      <c r="E4804" s="6">
        <v>98.322984924511971</v>
      </c>
    </row>
    <row r="4805" spans="1:5" x14ac:dyDescent="0.3">
      <c r="A4805" s="4">
        <v>4802</v>
      </c>
      <c r="B4805" s="5">
        <v>52223.241308326949</v>
      </c>
      <c r="C4805" s="19">
        <v>-35.137408708382708</v>
      </c>
      <c r="D4805" s="5">
        <v>93329.811720679107</v>
      </c>
      <c r="E4805" s="6">
        <v>78.713173258737868</v>
      </c>
    </row>
    <row r="4806" spans="1:5" x14ac:dyDescent="0.3">
      <c r="A4806" s="4">
        <v>4803</v>
      </c>
      <c r="B4806" s="5">
        <v>86561.211570144937</v>
      </c>
      <c r="C4806" s="19">
        <v>7.5112219602172434</v>
      </c>
      <c r="D4806" s="5">
        <v>156425.32314331777</v>
      </c>
      <c r="E4806" s="6">
        <v>80.710644301181489</v>
      </c>
    </row>
    <row r="4807" spans="1:5" x14ac:dyDescent="0.3">
      <c r="A4807" s="4">
        <v>4804</v>
      </c>
      <c r="B4807" s="5">
        <v>86236.245083039175</v>
      </c>
      <c r="C4807" s="19">
        <v>7.1076053345817778</v>
      </c>
      <c r="D4807" s="5">
        <v>151221.06259661919</v>
      </c>
      <c r="E4807" s="6">
        <v>75.356733646049179</v>
      </c>
    </row>
    <row r="4808" spans="1:5" x14ac:dyDescent="0.3">
      <c r="A4808" s="4">
        <v>4805</v>
      </c>
      <c r="B4808" s="5">
        <v>102028.98114711691</v>
      </c>
      <c r="C4808" s="19">
        <v>26.722584394438137</v>
      </c>
      <c r="D4808" s="5">
        <v>186575.24604273686</v>
      </c>
      <c r="E4808" s="6">
        <v>82.864950668978651</v>
      </c>
    </row>
    <row r="4809" spans="1:5" x14ac:dyDescent="0.3">
      <c r="A4809" s="4">
        <v>4806</v>
      </c>
      <c r="B4809" s="5">
        <v>72257.609675428466</v>
      </c>
      <c r="C4809" s="19">
        <v>-10.254214662481722</v>
      </c>
      <c r="D4809" s="5">
        <v>149929.74917794505</v>
      </c>
      <c r="E4809" s="6">
        <v>107.49336969685194</v>
      </c>
    </row>
    <row r="4810" spans="1:5" x14ac:dyDescent="0.3">
      <c r="A4810" s="4">
        <v>4807</v>
      </c>
      <c r="B4810" s="5">
        <v>55050.832518727388</v>
      </c>
      <c r="C4810" s="19">
        <v>-31.62546865209346</v>
      </c>
      <c r="D4810" s="5">
        <v>110369.87695369033</v>
      </c>
      <c r="E4810" s="6">
        <v>100.48720773867372</v>
      </c>
    </row>
    <row r="4811" spans="1:5" x14ac:dyDescent="0.3">
      <c r="A4811" s="4">
        <v>4808</v>
      </c>
      <c r="B4811" s="5">
        <v>56917.836096474108</v>
      </c>
      <c r="C4811" s="19">
        <v>-29.306602818232168</v>
      </c>
      <c r="D4811" s="5">
        <v>103574.34106472159</v>
      </c>
      <c r="E4811" s="6">
        <v>81.971677365186622</v>
      </c>
    </row>
    <row r="4812" spans="1:5" x14ac:dyDescent="0.3">
      <c r="A4812" s="4">
        <v>4809</v>
      </c>
      <c r="B4812" s="5">
        <v>105275.33714763445</v>
      </c>
      <c r="C4812" s="19">
        <v>30.754640949592705</v>
      </c>
      <c r="D4812" s="5">
        <v>180181.06639937038</v>
      </c>
      <c r="E4812" s="6">
        <v>71.152210271899449</v>
      </c>
    </row>
    <row r="4813" spans="1:5" x14ac:dyDescent="0.3">
      <c r="A4813" s="4">
        <v>4810</v>
      </c>
      <c r="B4813" s="5">
        <v>54469.517753106054</v>
      </c>
      <c r="C4813" s="19">
        <v>-32.347476346553947</v>
      </c>
      <c r="D4813" s="5">
        <v>97333.800539691249</v>
      </c>
      <c r="E4813" s="6">
        <v>78.69407432772968</v>
      </c>
    </row>
    <row r="4814" spans="1:5" x14ac:dyDescent="0.3">
      <c r="A4814" s="4">
        <v>4811</v>
      </c>
      <c r="B4814" s="5">
        <v>82137.807160738244</v>
      </c>
      <c r="C4814" s="19">
        <v>2.0172414041092499</v>
      </c>
      <c r="D4814" s="5">
        <v>147954.26951327646</v>
      </c>
      <c r="E4814" s="6">
        <v>80.129315144413056</v>
      </c>
    </row>
    <row r="4815" spans="1:5" x14ac:dyDescent="0.3">
      <c r="A4815" s="4">
        <v>4812</v>
      </c>
      <c r="B4815" s="5">
        <v>87765.188540791525</v>
      </c>
      <c r="C4815" s="19">
        <v>9.0065919184032222</v>
      </c>
      <c r="D4815" s="5">
        <v>181168.39445203924</v>
      </c>
      <c r="E4815" s="6">
        <v>106.42397910173207</v>
      </c>
    </row>
    <row r="4816" spans="1:5" x14ac:dyDescent="0.3">
      <c r="A4816" s="4">
        <v>4813</v>
      </c>
      <c r="B4816" s="5">
        <v>47067.139321810384</v>
      </c>
      <c r="C4816" s="19">
        <v>-41.54141825338187</v>
      </c>
      <c r="D4816" s="5">
        <v>91522.051423439247</v>
      </c>
      <c r="E4816" s="6">
        <v>94.449997901251152</v>
      </c>
    </row>
    <row r="4817" spans="1:5" x14ac:dyDescent="0.3">
      <c r="A4817" s="4">
        <v>4814</v>
      </c>
      <c r="B4817" s="5">
        <v>55149.844678401802</v>
      </c>
      <c r="C4817" s="19">
        <v>-31.502493036544337</v>
      </c>
      <c r="D4817" s="5">
        <v>109614.42672733133</v>
      </c>
      <c r="E4817" s="6">
        <v>98.75745320142191</v>
      </c>
    </row>
    <row r="4818" spans="1:5" x14ac:dyDescent="0.3">
      <c r="A4818" s="4">
        <v>4815</v>
      </c>
      <c r="B4818" s="5">
        <v>49695.480321584422</v>
      </c>
      <c r="C4818" s="19">
        <v>-38.276952016274493</v>
      </c>
      <c r="D4818" s="5">
        <v>106986.12824514555</v>
      </c>
      <c r="E4818" s="6">
        <v>115.28341722995252</v>
      </c>
    </row>
    <row r="4819" spans="1:5" x14ac:dyDescent="0.3">
      <c r="A4819" s="4">
        <v>4816</v>
      </c>
      <c r="B4819" s="5">
        <v>23045.508323647748</v>
      </c>
      <c r="C4819" s="19">
        <v>-71.3768936960643</v>
      </c>
      <c r="D4819" s="5">
        <v>49706.740628798827</v>
      </c>
      <c r="E4819" s="6">
        <v>115.68949545709573</v>
      </c>
    </row>
    <row r="4820" spans="1:5" x14ac:dyDescent="0.3">
      <c r="A4820" s="4">
        <v>4817</v>
      </c>
      <c r="B4820" s="5">
        <v>41839.887058369583</v>
      </c>
      <c r="C4820" s="19">
        <v>-48.033798248334051</v>
      </c>
      <c r="D4820" s="5">
        <v>84162.35051303549</v>
      </c>
      <c r="E4820" s="6">
        <v>101.15338838181638</v>
      </c>
    </row>
    <row r="4821" spans="1:5" x14ac:dyDescent="0.3">
      <c r="A4821" s="4">
        <v>4818</v>
      </c>
      <c r="B4821" s="5">
        <v>64156.768386856907</v>
      </c>
      <c r="C4821" s="19">
        <v>-20.315665167184392</v>
      </c>
      <c r="D4821" s="5">
        <v>134982.82625913108</v>
      </c>
      <c r="E4821" s="6">
        <v>110.39530146718475</v>
      </c>
    </row>
    <row r="4822" spans="1:5" x14ac:dyDescent="0.3">
      <c r="A4822" s="4">
        <v>4819</v>
      </c>
      <c r="B4822" s="5">
        <v>46875.117111262109</v>
      </c>
      <c r="C4822" s="19">
        <v>-41.779914712997822</v>
      </c>
      <c r="D4822" s="5">
        <v>93646.986748082621</v>
      </c>
      <c r="E4822" s="6">
        <v>99.779739271484843</v>
      </c>
    </row>
    <row r="4823" spans="1:5" x14ac:dyDescent="0.3">
      <c r="A4823" s="4">
        <v>4820</v>
      </c>
      <c r="B4823" s="5">
        <v>62011.233460972311</v>
      </c>
      <c r="C4823" s="19">
        <v>-22.980474005416216</v>
      </c>
      <c r="D4823" s="5">
        <v>117302.0671965639</v>
      </c>
      <c r="E4823" s="6">
        <v>89.162609175303203</v>
      </c>
    </row>
    <row r="4824" spans="1:5" x14ac:dyDescent="0.3">
      <c r="A4824" s="4">
        <v>4821</v>
      </c>
      <c r="B4824" s="5">
        <v>109781.96184085951</v>
      </c>
      <c r="C4824" s="19">
        <v>36.351983210590177</v>
      </c>
      <c r="D4824" s="5">
        <v>168782.95099549092</v>
      </c>
      <c r="E4824" s="6">
        <v>53.743791935654727</v>
      </c>
    </row>
    <row r="4825" spans="1:5" x14ac:dyDescent="0.3">
      <c r="A4825" s="4">
        <v>4822</v>
      </c>
      <c r="B4825" s="5">
        <v>89247.7793730712</v>
      </c>
      <c r="C4825" s="19">
        <v>10.848007364815238</v>
      </c>
      <c r="D4825" s="5">
        <v>183125.25775597745</v>
      </c>
      <c r="E4825" s="6">
        <v>105.18746689537461</v>
      </c>
    </row>
    <row r="4826" spans="1:5" x14ac:dyDescent="0.3">
      <c r="A4826" s="4">
        <v>4823</v>
      </c>
      <c r="B4826" s="5">
        <v>50826.189723353236</v>
      </c>
      <c r="C4826" s="19">
        <v>-36.872582238391225</v>
      </c>
      <c r="D4826" s="5">
        <v>87008.754296945554</v>
      </c>
      <c r="E4826" s="6">
        <v>71.188819721749525</v>
      </c>
    </row>
    <row r="4827" spans="1:5" x14ac:dyDescent="0.3">
      <c r="A4827" s="4">
        <v>4824</v>
      </c>
      <c r="B4827" s="5">
        <v>75608.819648234581</v>
      </c>
      <c r="C4827" s="19">
        <v>-6.0919268122280519</v>
      </c>
      <c r="D4827" s="5">
        <v>131663.33455315343</v>
      </c>
      <c r="E4827" s="6">
        <v>74.137534702577099</v>
      </c>
    </row>
    <row r="4828" spans="1:5" x14ac:dyDescent="0.3">
      <c r="A4828" s="4">
        <v>4825</v>
      </c>
      <c r="B4828" s="5">
        <v>43966.278838737366</v>
      </c>
      <c r="C4828" s="19">
        <v>-45.392765682746081</v>
      </c>
      <c r="D4828" s="5">
        <v>75679.390058315141</v>
      </c>
      <c r="E4828" s="6">
        <v>72.130532892941375</v>
      </c>
    </row>
    <row r="4829" spans="1:5" x14ac:dyDescent="0.3">
      <c r="A4829" s="4">
        <v>4826</v>
      </c>
      <c r="B4829" s="5">
        <v>77213.127170591048</v>
      </c>
      <c r="C4829" s="19">
        <v>-4.0993361471962659</v>
      </c>
      <c r="D4829" s="5">
        <v>138152.27566494007</v>
      </c>
      <c r="E4829" s="6">
        <v>78.923300645125977</v>
      </c>
    </row>
    <row r="4830" spans="1:5" x14ac:dyDescent="0.3">
      <c r="A4830" s="4">
        <v>4827</v>
      </c>
      <c r="B4830" s="5">
        <v>84011.818492880964</v>
      </c>
      <c r="C4830" s="19">
        <v>4.3448110468087533</v>
      </c>
      <c r="D4830" s="5">
        <v>164550.3164409298</v>
      </c>
      <c r="E4830" s="6">
        <v>95.865676273718023</v>
      </c>
    </row>
    <row r="4831" spans="1:5" x14ac:dyDescent="0.3">
      <c r="A4831" s="4">
        <v>4828</v>
      </c>
      <c r="B4831" s="5">
        <v>70980.96781124048</v>
      </c>
      <c r="C4831" s="19">
        <v>-11.839836262904873</v>
      </c>
      <c r="D4831" s="5">
        <v>130999.14778123189</v>
      </c>
      <c r="E4831" s="6">
        <v>84.555313657595676</v>
      </c>
    </row>
    <row r="4832" spans="1:5" x14ac:dyDescent="0.3">
      <c r="A4832" s="4">
        <v>4829</v>
      </c>
      <c r="B4832" s="5">
        <v>62674.621042694089</v>
      </c>
      <c r="C4832" s="19">
        <v>-22.156529790098176</v>
      </c>
      <c r="D4832" s="5">
        <v>109976.36873907645</v>
      </c>
      <c r="E4832" s="6">
        <v>75.471932513417698</v>
      </c>
    </row>
    <row r="4833" spans="1:5" x14ac:dyDescent="0.3">
      <c r="A4833" s="4">
        <v>4830</v>
      </c>
      <c r="B4833" s="5">
        <v>97415.897493912256</v>
      </c>
      <c r="C4833" s="19">
        <v>20.993017402889787</v>
      </c>
      <c r="D4833" s="5">
        <v>176550.9983917987</v>
      </c>
      <c r="E4833" s="6">
        <v>81.234277909138768</v>
      </c>
    </row>
    <row r="4834" spans="1:5" x14ac:dyDescent="0.3">
      <c r="A4834" s="4">
        <v>4831</v>
      </c>
      <c r="B4834" s="5">
        <v>49124.253663555181</v>
      </c>
      <c r="C4834" s="19">
        <v>-38.986430025038374</v>
      </c>
      <c r="D4834" s="5">
        <v>109606.06126531561</v>
      </c>
      <c r="E4834" s="6">
        <v>123.12005392690844</v>
      </c>
    </row>
    <row r="4835" spans="1:5" x14ac:dyDescent="0.3">
      <c r="A4835" s="4">
        <v>4832</v>
      </c>
      <c r="B4835" s="5">
        <v>60385.179621525611</v>
      </c>
      <c r="C4835" s="19">
        <v>-25.000074148262563</v>
      </c>
      <c r="D4835" s="5">
        <v>119939.32602797663</v>
      </c>
      <c r="E4835" s="6">
        <v>98.623779509669035</v>
      </c>
    </row>
    <row r="4836" spans="1:5" x14ac:dyDescent="0.3">
      <c r="A4836" s="4">
        <v>4833</v>
      </c>
      <c r="B4836" s="5">
        <v>92809.355367875542</v>
      </c>
      <c r="C4836" s="19">
        <v>15.271575154128126</v>
      </c>
      <c r="D4836" s="5">
        <v>196698.81129196275</v>
      </c>
      <c r="E4836" s="6">
        <v>111.93855997845543</v>
      </c>
    </row>
    <row r="4837" spans="1:5" x14ac:dyDescent="0.3">
      <c r="A4837" s="4">
        <v>4834</v>
      </c>
      <c r="B4837" s="5">
        <v>82615.115642975827</v>
      </c>
      <c r="C4837" s="19">
        <v>2.6100706546073802</v>
      </c>
      <c r="D4837" s="5">
        <v>152766.20674324199</v>
      </c>
      <c r="E4837" s="6">
        <v>84.913142775744106</v>
      </c>
    </row>
    <row r="4838" spans="1:5" x14ac:dyDescent="0.3">
      <c r="A4838" s="4">
        <v>4835</v>
      </c>
      <c r="B4838" s="5">
        <v>120075.17394610246</v>
      </c>
      <c r="C4838" s="19">
        <v>49.13641391872099</v>
      </c>
      <c r="D4838" s="5">
        <v>222281.94699979539</v>
      </c>
      <c r="E4838" s="6">
        <v>85.118988126196655</v>
      </c>
    </row>
    <row r="4839" spans="1:5" x14ac:dyDescent="0.3">
      <c r="A4839" s="4">
        <v>4836</v>
      </c>
      <c r="B4839" s="5">
        <v>58773.222856871296</v>
      </c>
      <c r="C4839" s="19">
        <v>-27.002165366389601</v>
      </c>
      <c r="D4839" s="5">
        <v>108004.99256438513</v>
      </c>
      <c r="E4839" s="6">
        <v>83.76564584080495</v>
      </c>
    </row>
    <row r="4840" spans="1:5" x14ac:dyDescent="0.3">
      <c r="A4840" s="4">
        <v>4837</v>
      </c>
      <c r="B4840" s="5">
        <v>52895.045029646957</v>
      </c>
      <c r="C4840" s="19">
        <v>-34.303011434056138</v>
      </c>
      <c r="D4840" s="5">
        <v>85202.213880425101</v>
      </c>
      <c r="E4840" s="6">
        <v>61.077873802112116</v>
      </c>
    </row>
    <row r="4841" spans="1:5" x14ac:dyDescent="0.3">
      <c r="A4841" s="4">
        <v>4838</v>
      </c>
      <c r="B4841" s="5">
        <v>69237.771286871066</v>
      </c>
      <c r="C4841" s="19">
        <v>-14.004930593867293</v>
      </c>
      <c r="D4841" s="5">
        <v>115010.62595363526</v>
      </c>
      <c r="E4841" s="6">
        <v>66.109659245261824</v>
      </c>
    </row>
    <row r="4842" spans="1:5" x14ac:dyDescent="0.3">
      <c r="A4842" s="4">
        <v>4839</v>
      </c>
      <c r="B4842" s="5">
        <v>71830.669467802218</v>
      </c>
      <c r="C4842" s="19">
        <v>-10.784485237410667</v>
      </c>
      <c r="D4842" s="5">
        <v>148636.62146852704</v>
      </c>
      <c r="E4842" s="6">
        <v>106.9264042362194</v>
      </c>
    </row>
    <row r="4843" spans="1:5" x14ac:dyDescent="0.3">
      <c r="A4843" s="4">
        <v>4840</v>
      </c>
      <c r="B4843" s="5">
        <v>103960.96287062571</v>
      </c>
      <c r="C4843" s="19">
        <v>29.122154734681349</v>
      </c>
      <c r="D4843" s="5">
        <v>168727.84236041276</v>
      </c>
      <c r="E4843" s="6">
        <v>62.299230116198757</v>
      </c>
    </row>
    <row r="4844" spans="1:5" x14ac:dyDescent="0.3">
      <c r="A4844" s="4">
        <v>4841</v>
      </c>
      <c r="B4844" s="5">
        <v>83580.986789089584</v>
      </c>
      <c r="C4844" s="19">
        <v>3.8097071348645581</v>
      </c>
      <c r="D4844" s="5">
        <v>164476.36568783948</v>
      </c>
      <c r="E4844" s="6">
        <v>96.786819594369462</v>
      </c>
    </row>
    <row r="4845" spans="1:5" x14ac:dyDescent="0.3">
      <c r="A4845" s="4">
        <v>4842</v>
      </c>
      <c r="B4845" s="5">
        <v>58819.239113044307</v>
      </c>
      <c r="C4845" s="19">
        <v>-26.945012008188442</v>
      </c>
      <c r="D4845" s="5">
        <v>109428.22239971641</v>
      </c>
      <c r="E4845" s="6">
        <v>86.041547034307996</v>
      </c>
    </row>
    <row r="4846" spans="1:5" x14ac:dyDescent="0.3">
      <c r="A4846" s="4">
        <v>4843</v>
      </c>
      <c r="B4846" s="5">
        <v>37408.631970455193</v>
      </c>
      <c r="C4846" s="19">
        <v>-53.537529546422988</v>
      </c>
      <c r="D4846" s="5">
        <v>73159.004702951133</v>
      </c>
      <c r="E4846" s="6">
        <v>95.567174872182107</v>
      </c>
    </row>
    <row r="4847" spans="1:5" x14ac:dyDescent="0.3">
      <c r="A4847" s="4">
        <v>4844</v>
      </c>
      <c r="B4847" s="5">
        <v>46470.798729679373</v>
      </c>
      <c r="C4847" s="19">
        <v>-42.282088405769116</v>
      </c>
      <c r="D4847" s="5">
        <v>77347.473579651021</v>
      </c>
      <c r="E4847" s="6">
        <v>66.44317656251458</v>
      </c>
    </row>
    <row r="4848" spans="1:5" x14ac:dyDescent="0.3">
      <c r="A4848" s="4">
        <v>4845</v>
      </c>
      <c r="B4848" s="5">
        <v>33197.533473104624</v>
      </c>
      <c r="C4848" s="19">
        <v>-58.76782077077948</v>
      </c>
      <c r="D4848" s="5">
        <v>61040.100255304562</v>
      </c>
      <c r="E4848" s="6">
        <v>83.869383864789</v>
      </c>
    </row>
    <row r="4849" spans="1:5" x14ac:dyDescent="0.3">
      <c r="A4849" s="4">
        <v>4846</v>
      </c>
      <c r="B4849" s="5">
        <v>97051.947958761637</v>
      </c>
      <c r="C4849" s="19">
        <v>20.540982842072811</v>
      </c>
      <c r="D4849" s="5">
        <v>181577.67368538686</v>
      </c>
      <c r="E4849" s="6">
        <v>87.09328097416558</v>
      </c>
    </row>
    <row r="4850" spans="1:5" x14ac:dyDescent="0.3">
      <c r="A4850" s="4">
        <v>4847</v>
      </c>
      <c r="B4850" s="5">
        <v>75157.369849665833</v>
      </c>
      <c r="C4850" s="19">
        <v>-6.6526389212364725</v>
      </c>
      <c r="D4850" s="5">
        <v>147538.78609474361</v>
      </c>
      <c r="E4850" s="6">
        <v>96.306478512831575</v>
      </c>
    </row>
    <row r="4851" spans="1:5" x14ac:dyDescent="0.3">
      <c r="A4851" s="4">
        <v>4848</v>
      </c>
      <c r="B4851" s="5">
        <v>58528.24728284344</v>
      </c>
      <c r="C4851" s="19">
        <v>-27.306431247566621</v>
      </c>
      <c r="D4851" s="5">
        <v>118738.46712431136</v>
      </c>
      <c r="E4851" s="6">
        <v>102.87377913522026</v>
      </c>
    </row>
    <row r="4852" spans="1:5" x14ac:dyDescent="0.3">
      <c r="A4852" s="4">
        <v>4849</v>
      </c>
      <c r="B4852" s="5">
        <v>87806.100387034108</v>
      </c>
      <c r="C4852" s="19">
        <v>9.0574054699051487</v>
      </c>
      <c r="D4852" s="5">
        <v>156543.4006803243</v>
      </c>
      <c r="E4852" s="6">
        <v>78.283057771963513</v>
      </c>
    </row>
    <row r="4853" spans="1:5" x14ac:dyDescent="0.3">
      <c r="A4853" s="4">
        <v>4850</v>
      </c>
      <c r="B4853" s="5">
        <v>55915.340015664398</v>
      </c>
      <c r="C4853" s="19">
        <v>-30.551728397035344</v>
      </c>
      <c r="D4853" s="5">
        <v>113942.23767679613</v>
      </c>
      <c r="E4853" s="6">
        <v>103.77634768003875</v>
      </c>
    </row>
    <row r="4854" spans="1:5" x14ac:dyDescent="0.3">
      <c r="A4854" s="4">
        <v>4851</v>
      </c>
      <c r="B4854" s="5">
        <v>113288.2488589312</v>
      </c>
      <c r="C4854" s="19">
        <v>40.706880687396627</v>
      </c>
      <c r="D4854" s="5">
        <v>229439.46819532276</v>
      </c>
      <c r="E4854" s="6">
        <v>102.52715573441813</v>
      </c>
    </row>
    <row r="4855" spans="1:5" x14ac:dyDescent="0.3">
      <c r="A4855" s="4">
        <v>4852</v>
      </c>
      <c r="B4855" s="5">
        <v>36150.875624295906</v>
      </c>
      <c r="C4855" s="19">
        <v>-55.099694854081896</v>
      </c>
      <c r="D4855" s="5">
        <v>66027.800653871411</v>
      </c>
      <c r="E4855" s="6">
        <v>82.645093690334107</v>
      </c>
    </row>
    <row r="4856" spans="1:5" x14ac:dyDescent="0.3">
      <c r="A4856" s="4">
        <v>4853</v>
      </c>
      <c r="B4856" s="5">
        <v>93194.028684566118</v>
      </c>
      <c r="C4856" s="19">
        <v>15.749349177651121</v>
      </c>
      <c r="D4856" s="5">
        <v>176207.59626783512</v>
      </c>
      <c r="E4856" s="6">
        <v>89.076058579080282</v>
      </c>
    </row>
    <row r="4857" spans="1:5" x14ac:dyDescent="0.3">
      <c r="A4857" s="4">
        <v>4854</v>
      </c>
      <c r="B4857" s="5">
        <v>76749.138594202726</v>
      </c>
      <c r="C4857" s="19">
        <v>-4.6756217365293873</v>
      </c>
      <c r="D4857" s="5">
        <v>149323.07798083889</v>
      </c>
      <c r="E4857" s="6">
        <v>94.559939975818907</v>
      </c>
    </row>
    <row r="4858" spans="1:5" x14ac:dyDescent="0.3">
      <c r="A4858" s="4">
        <v>4855</v>
      </c>
      <c r="B4858" s="5">
        <v>80067.291069111321</v>
      </c>
      <c r="C4858" s="19">
        <v>-0.55439213776552609</v>
      </c>
      <c r="D4858" s="5">
        <v>166533.08281913359</v>
      </c>
      <c r="E4858" s="6">
        <v>107.99140397467424</v>
      </c>
    </row>
    <row r="4859" spans="1:5" x14ac:dyDescent="0.3">
      <c r="A4859" s="4">
        <v>4856</v>
      </c>
      <c r="B4859" s="5">
        <v>58350.88224990922</v>
      </c>
      <c r="C4859" s="19">
        <v>-27.526723120541615</v>
      </c>
      <c r="D4859" s="5">
        <v>112715.05807245102</v>
      </c>
      <c r="E4859" s="6">
        <v>93.167701543409621</v>
      </c>
    </row>
    <row r="4860" spans="1:5" x14ac:dyDescent="0.3">
      <c r="A4860" s="4">
        <v>4857</v>
      </c>
      <c r="B4860" s="5">
        <v>97610.07056286493</v>
      </c>
      <c r="C4860" s="19">
        <v>21.234185283239416</v>
      </c>
      <c r="D4860" s="5">
        <v>191256.11185603094</v>
      </c>
      <c r="E4860" s="6">
        <v>95.938913631718023</v>
      </c>
    </row>
    <row r="4861" spans="1:5" x14ac:dyDescent="0.3">
      <c r="A4861" s="4">
        <v>4858</v>
      </c>
      <c r="B4861" s="5">
        <v>54315.767743018783</v>
      </c>
      <c r="C4861" s="19">
        <v>-32.538437761731032</v>
      </c>
      <c r="D4861" s="5">
        <v>102856.08591779688</v>
      </c>
      <c r="E4861" s="6">
        <v>89.366900610581894</v>
      </c>
    </row>
    <row r="4862" spans="1:5" x14ac:dyDescent="0.3">
      <c r="A4862" s="4">
        <v>4859</v>
      </c>
      <c r="B4862" s="5">
        <v>87531.315690290765</v>
      </c>
      <c r="C4862" s="19">
        <v>8.716115901668168</v>
      </c>
      <c r="D4862" s="5">
        <v>167465.63158656759</v>
      </c>
      <c r="E4862" s="6">
        <v>91.320820743864786</v>
      </c>
    </row>
    <row r="4863" spans="1:5" x14ac:dyDescent="0.3">
      <c r="A4863" s="4">
        <v>4860</v>
      </c>
      <c r="B4863" s="5">
        <v>45623.695203386655</v>
      </c>
      <c r="C4863" s="19">
        <v>-43.334212487520659</v>
      </c>
      <c r="D4863" s="5">
        <v>78081.994453866791</v>
      </c>
      <c r="E4863" s="6">
        <v>71.143512391496841</v>
      </c>
    </row>
    <row r="4864" spans="1:5" x14ac:dyDescent="0.3">
      <c r="A4864" s="4">
        <v>4861</v>
      </c>
      <c r="B4864" s="5">
        <v>56932.143143462214</v>
      </c>
      <c r="C4864" s="19">
        <v>-29.28883310271604</v>
      </c>
      <c r="D4864" s="5">
        <v>96519.923100378583</v>
      </c>
      <c r="E4864" s="6">
        <v>69.53502498080897</v>
      </c>
    </row>
    <row r="4865" spans="1:5" x14ac:dyDescent="0.3">
      <c r="A4865" s="4">
        <v>4862</v>
      </c>
      <c r="B4865" s="5">
        <v>92687.542094213873</v>
      </c>
      <c r="C4865" s="19">
        <v>15.120279976244348</v>
      </c>
      <c r="D4865" s="5">
        <v>163643.33566719829</v>
      </c>
      <c r="E4865" s="6">
        <v>76.553754657621795</v>
      </c>
    </row>
    <row r="4866" spans="1:5" x14ac:dyDescent="0.3">
      <c r="A4866" s="4">
        <v>4863</v>
      </c>
      <c r="B4866" s="5">
        <v>65556.789035563241</v>
      </c>
      <c r="C4866" s="19">
        <v>-18.576803984655982</v>
      </c>
      <c r="D4866" s="5">
        <v>128472.12770656477</v>
      </c>
      <c r="E4866" s="6">
        <v>95.970744749062106</v>
      </c>
    </row>
    <row r="4867" spans="1:5" x14ac:dyDescent="0.3">
      <c r="A4867" s="4">
        <v>4864</v>
      </c>
      <c r="B4867" s="5">
        <v>63685.484953214618</v>
      </c>
      <c r="C4867" s="19">
        <v>-20.901011154392883</v>
      </c>
      <c r="D4867" s="5">
        <v>108166.95142049399</v>
      </c>
      <c r="E4867" s="6">
        <v>69.845533091185331</v>
      </c>
    </row>
    <row r="4868" spans="1:5" x14ac:dyDescent="0.3">
      <c r="A4868" s="4">
        <v>4865</v>
      </c>
      <c r="B4868" s="5">
        <v>43615.042343139248</v>
      </c>
      <c r="C4868" s="19">
        <v>-45.829010325742765</v>
      </c>
      <c r="D4868" s="5">
        <v>77972.687353506</v>
      </c>
      <c r="E4868" s="6">
        <v>78.774760184937193</v>
      </c>
    </row>
    <row r="4869" spans="1:5" x14ac:dyDescent="0.3">
      <c r="A4869" s="4">
        <v>4866</v>
      </c>
      <c r="B4869" s="5">
        <v>56015.030864556778</v>
      </c>
      <c r="C4869" s="19">
        <v>-30.427909832250283</v>
      </c>
      <c r="D4869" s="5">
        <v>118930.0063101549</v>
      </c>
      <c r="E4869" s="6">
        <v>112.31802334934935</v>
      </c>
    </row>
    <row r="4870" spans="1:5" x14ac:dyDescent="0.3">
      <c r="A4870" s="4">
        <v>4867</v>
      </c>
      <c r="B4870" s="5">
        <v>65997.244070373737</v>
      </c>
      <c r="C4870" s="19">
        <v>-18.029747651316271</v>
      </c>
      <c r="D4870" s="5">
        <v>129917.05432366389</v>
      </c>
      <c r="E4870" s="6">
        <v>96.852241565013856</v>
      </c>
    </row>
    <row r="4871" spans="1:5" x14ac:dyDescent="0.3">
      <c r="A4871" s="4">
        <v>4868</v>
      </c>
      <c r="B4871" s="5">
        <v>89799.607750824842</v>
      </c>
      <c r="C4871" s="19">
        <v>11.53339221708873</v>
      </c>
      <c r="D4871" s="5">
        <v>171426.36888121316</v>
      </c>
      <c r="E4871" s="6">
        <v>90.898794744054484</v>
      </c>
    </row>
    <row r="4872" spans="1:5" x14ac:dyDescent="0.3">
      <c r="A4872" s="4">
        <v>4869</v>
      </c>
      <c r="B4872" s="5">
        <v>36031.922539663632</v>
      </c>
      <c r="C4872" s="19">
        <v>-55.247437604590765</v>
      </c>
      <c r="D4872" s="5">
        <v>70330.161507775672</v>
      </c>
      <c r="E4872" s="6">
        <v>95.188478856094434</v>
      </c>
    </row>
    <row r="4873" spans="1:5" x14ac:dyDescent="0.3">
      <c r="A4873" s="4">
        <v>4870</v>
      </c>
      <c r="B4873" s="5">
        <v>37082.365040448603</v>
      </c>
      <c r="C4873" s="19">
        <v>-53.942761355150537</v>
      </c>
      <c r="D4873" s="5">
        <v>82707.230519058998</v>
      </c>
      <c r="E4873" s="6">
        <v>123.03655775149139</v>
      </c>
    </row>
    <row r="4874" spans="1:5" x14ac:dyDescent="0.3">
      <c r="A4874" s="4">
        <v>4871</v>
      </c>
      <c r="B4874" s="5">
        <v>118544.83502381713</v>
      </c>
      <c r="C4874" s="19">
        <v>47.235694132528394</v>
      </c>
      <c r="D4874" s="5">
        <v>206978.11780767742</v>
      </c>
      <c r="E4874" s="6">
        <v>74.599017971633231</v>
      </c>
    </row>
    <row r="4875" spans="1:5" x14ac:dyDescent="0.3">
      <c r="A4875" s="4">
        <v>4872</v>
      </c>
      <c r="B4875" s="5">
        <v>54693.893449245428</v>
      </c>
      <c r="C4875" s="19">
        <v>-32.068796036602755</v>
      </c>
      <c r="D4875" s="5">
        <v>115323.7432387796</v>
      </c>
      <c r="E4875" s="6">
        <v>110.85305134803973</v>
      </c>
    </row>
    <row r="4876" spans="1:5" x14ac:dyDescent="0.3">
      <c r="A4876" s="4">
        <v>4873</v>
      </c>
      <c r="B4876" s="5">
        <v>96661.037115341591</v>
      </c>
      <c r="C4876" s="19">
        <v>20.055461652024174</v>
      </c>
      <c r="D4876" s="5">
        <v>146099.46585012134</v>
      </c>
      <c r="E4876" s="6">
        <v>51.146180726146085</v>
      </c>
    </row>
    <row r="4877" spans="1:5" x14ac:dyDescent="0.3">
      <c r="A4877" s="4">
        <v>4874</v>
      </c>
      <c r="B4877" s="5">
        <v>89588.017698969736</v>
      </c>
      <c r="C4877" s="19">
        <v>11.270592001877624</v>
      </c>
      <c r="D4877" s="5">
        <v>122283.65879101095</v>
      </c>
      <c r="E4877" s="6">
        <v>36.495551449641255</v>
      </c>
    </row>
    <row r="4878" spans="1:5" x14ac:dyDescent="0.3">
      <c r="A4878" s="4">
        <v>4875</v>
      </c>
      <c r="B4878" s="5">
        <v>68564.91874796612</v>
      </c>
      <c r="C4878" s="19">
        <v>-14.840630526256584</v>
      </c>
      <c r="D4878" s="5">
        <v>126972.76100696313</v>
      </c>
      <c r="E4878" s="6">
        <v>85.186190439013103</v>
      </c>
    </row>
    <row r="4879" spans="1:5" x14ac:dyDescent="0.3">
      <c r="A4879" s="4">
        <v>4876</v>
      </c>
      <c r="B4879" s="5">
        <v>88334.10550493325</v>
      </c>
      <c r="C4879" s="19">
        <v>9.7132012287316574</v>
      </c>
      <c r="D4879" s="5">
        <v>177642.02831996619</v>
      </c>
      <c r="E4879" s="6">
        <v>101.10242505375832</v>
      </c>
    </row>
    <row r="4880" spans="1:5" x14ac:dyDescent="0.3">
      <c r="A4880" s="4">
        <v>4877</v>
      </c>
      <c r="B4880" s="5">
        <v>73617.303292140205</v>
      </c>
      <c r="C4880" s="19">
        <v>-8.5654406773148537</v>
      </c>
      <c r="D4880" s="5">
        <v>102220.01166277364</v>
      </c>
      <c r="E4880" s="6">
        <v>38.853241142408464</v>
      </c>
    </row>
    <row r="4881" spans="1:5" x14ac:dyDescent="0.3">
      <c r="A4881" s="4">
        <v>4878</v>
      </c>
      <c r="B4881" s="5">
        <v>46884.970907221112</v>
      </c>
      <c r="C4881" s="19">
        <v>-41.767676048297062</v>
      </c>
      <c r="D4881" s="5">
        <v>87720.894252624828</v>
      </c>
      <c r="E4881" s="6">
        <v>87.098109597236132</v>
      </c>
    </row>
    <row r="4882" spans="1:5" x14ac:dyDescent="0.3">
      <c r="A4882" s="4">
        <v>4879</v>
      </c>
      <c r="B4882" s="5">
        <v>93299.243005874072</v>
      </c>
      <c r="C4882" s="19">
        <v>15.880028035379059</v>
      </c>
      <c r="D4882" s="5">
        <v>151375.88310503264</v>
      </c>
      <c r="E4882" s="6">
        <v>62.247707728456156</v>
      </c>
    </row>
    <row r="4883" spans="1:5" x14ac:dyDescent="0.3">
      <c r="A4883" s="4">
        <v>4880</v>
      </c>
      <c r="B4883" s="5">
        <v>70540.626700787441</v>
      </c>
      <c r="C4883" s="19">
        <v>-12.386751099300872</v>
      </c>
      <c r="D4883" s="5">
        <v>128005.39109105202</v>
      </c>
      <c r="E4883" s="6">
        <v>81.463359595617405</v>
      </c>
    </row>
    <row r="4884" spans="1:5" x14ac:dyDescent="0.3">
      <c r="A4884" s="4">
        <v>4881</v>
      </c>
      <c r="B4884" s="5">
        <v>72502.354059017103</v>
      </c>
      <c r="C4884" s="19">
        <v>-9.9502359256985411</v>
      </c>
      <c r="D4884" s="5">
        <v>155626.76285317363</v>
      </c>
      <c r="E4884" s="6">
        <v>114.65063427663746</v>
      </c>
    </row>
    <row r="4885" spans="1:5" x14ac:dyDescent="0.3">
      <c r="A4885" s="4">
        <v>4882</v>
      </c>
      <c r="B4885" s="5">
        <v>55330.008632892619</v>
      </c>
      <c r="C4885" s="19">
        <v>-31.2787248319508</v>
      </c>
      <c r="D4885" s="5">
        <v>99692.107980551984</v>
      </c>
      <c r="E4885" s="6">
        <v>80.177286148636085</v>
      </c>
    </row>
    <row r="4886" spans="1:5" x14ac:dyDescent="0.3">
      <c r="A4886" s="4">
        <v>4883</v>
      </c>
      <c r="B4886" s="5">
        <v>46106.101926589843</v>
      </c>
      <c r="C4886" s="19">
        <v>-42.735051092334189</v>
      </c>
      <c r="D4886" s="5">
        <v>79875.191465565906</v>
      </c>
      <c r="E4886" s="6">
        <v>73.242126590409271</v>
      </c>
    </row>
    <row r="4887" spans="1:5" x14ac:dyDescent="0.3">
      <c r="A4887" s="4">
        <v>4884</v>
      </c>
      <c r="B4887" s="5">
        <v>81548.096468350239</v>
      </c>
      <c r="C4887" s="19">
        <v>1.2848057554900805</v>
      </c>
      <c r="D4887" s="5">
        <v>141655.59518698207</v>
      </c>
      <c r="E4887" s="6">
        <v>73.708034058109803</v>
      </c>
    </row>
    <row r="4888" spans="1:5" x14ac:dyDescent="0.3">
      <c r="A4888" s="4">
        <v>4885</v>
      </c>
      <c r="B4888" s="5">
        <v>45105.653398650087</v>
      </c>
      <c r="C4888" s="19">
        <v>-43.977633558499676</v>
      </c>
      <c r="D4888" s="5">
        <v>88870.399894669303</v>
      </c>
      <c r="E4888" s="6">
        <v>97.027186612773903</v>
      </c>
    </row>
    <row r="4889" spans="1:5" x14ac:dyDescent="0.3">
      <c r="A4889" s="4">
        <v>4886</v>
      </c>
      <c r="B4889" s="5">
        <v>58569.041682439572</v>
      </c>
      <c r="C4889" s="19">
        <v>-27.255763567780743</v>
      </c>
      <c r="D4889" s="5">
        <v>108871.55737225788</v>
      </c>
      <c r="E4889" s="6">
        <v>85.885843860238936</v>
      </c>
    </row>
    <row r="4890" spans="1:5" x14ac:dyDescent="0.3">
      <c r="A4890" s="4">
        <v>4887</v>
      </c>
      <c r="B4890" s="5">
        <v>95006.387942019253</v>
      </c>
      <c r="C4890" s="19">
        <v>18.000345378666658</v>
      </c>
      <c r="D4890" s="5">
        <v>167714.04929248808</v>
      </c>
      <c r="E4890" s="6">
        <v>76.529234428784989</v>
      </c>
    </row>
    <row r="4891" spans="1:5" x14ac:dyDescent="0.3">
      <c r="A4891" s="4">
        <v>4888</v>
      </c>
      <c r="B4891" s="5">
        <v>126133.47170094526</v>
      </c>
      <c r="C4891" s="19">
        <v>56.660973508488055</v>
      </c>
      <c r="D4891" s="5">
        <v>245516.28858403699</v>
      </c>
      <c r="E4891" s="6">
        <v>94.648006808328461</v>
      </c>
    </row>
    <row r="4892" spans="1:5" x14ac:dyDescent="0.3">
      <c r="A4892" s="4">
        <v>4889</v>
      </c>
      <c r="B4892" s="5">
        <v>39002.259822005399</v>
      </c>
      <c r="C4892" s="19">
        <v>-51.558203303615514</v>
      </c>
      <c r="D4892" s="5">
        <v>73263.920820573345</v>
      </c>
      <c r="E4892" s="6">
        <v>87.845322693935884</v>
      </c>
    </row>
    <row r="4893" spans="1:5" x14ac:dyDescent="0.3">
      <c r="A4893" s="4">
        <v>4890</v>
      </c>
      <c r="B4893" s="5">
        <v>28352.157355984396</v>
      </c>
      <c r="C4893" s="19">
        <v>-64.785900898809004</v>
      </c>
      <c r="D4893" s="5">
        <v>58743.198456228107</v>
      </c>
      <c r="E4893" s="6">
        <v>107.1912825491883</v>
      </c>
    </row>
    <row r="4894" spans="1:5" x14ac:dyDescent="0.3">
      <c r="A4894" s="4">
        <v>4891</v>
      </c>
      <c r="B4894" s="5">
        <v>129359.14841707885</v>
      </c>
      <c r="C4894" s="19">
        <v>60.66734586753384</v>
      </c>
      <c r="D4894" s="5">
        <v>248519.30206842104</v>
      </c>
      <c r="E4894" s="6">
        <v>92.11575300971127</v>
      </c>
    </row>
    <row r="4895" spans="1:5" x14ac:dyDescent="0.3">
      <c r="A4895" s="4">
        <v>4892</v>
      </c>
      <c r="B4895" s="5">
        <v>105654.72917510336</v>
      </c>
      <c r="C4895" s="19">
        <v>31.225855477847013</v>
      </c>
      <c r="D4895" s="5">
        <v>172096.58298465272</v>
      </c>
      <c r="E4895" s="6">
        <v>62.885830410330378</v>
      </c>
    </row>
    <row r="4896" spans="1:5" x14ac:dyDescent="0.3">
      <c r="A4896" s="4">
        <v>4893</v>
      </c>
      <c r="B4896" s="5">
        <v>87524.480526103885</v>
      </c>
      <c r="C4896" s="19">
        <v>8.7076264542505495</v>
      </c>
      <c r="D4896" s="5">
        <v>155645.5898558542</v>
      </c>
      <c r="E4896" s="6">
        <v>77.830921040923414</v>
      </c>
    </row>
    <row r="4897" spans="1:5" x14ac:dyDescent="0.3">
      <c r="A4897" s="4">
        <v>4894</v>
      </c>
      <c r="B4897" s="5">
        <v>124890.97214082527</v>
      </c>
      <c r="C4897" s="19">
        <v>55.117757516354175</v>
      </c>
      <c r="D4897" s="5">
        <v>220266.66082712216</v>
      </c>
      <c r="E4897" s="6">
        <v>76.36716013288185</v>
      </c>
    </row>
    <row r="4898" spans="1:5" x14ac:dyDescent="0.3">
      <c r="A4898" s="4">
        <v>4895</v>
      </c>
      <c r="B4898" s="5">
        <v>101619.3822912459</v>
      </c>
      <c r="C4898" s="19">
        <v>26.213852218566103</v>
      </c>
      <c r="D4898" s="5">
        <v>201760.91474383732</v>
      </c>
      <c r="E4898" s="6">
        <v>98.545700824652826</v>
      </c>
    </row>
    <row r="4899" spans="1:5" x14ac:dyDescent="0.3">
      <c r="A4899" s="4">
        <v>4896</v>
      </c>
      <c r="B4899" s="5">
        <v>80103.74044833165</v>
      </c>
      <c r="C4899" s="19">
        <v>-0.50912108357639518</v>
      </c>
      <c r="D4899" s="5">
        <v>168146.30640031776</v>
      </c>
      <c r="E4899" s="6">
        <v>109.91068014954325</v>
      </c>
    </row>
    <row r="4900" spans="1:5" x14ac:dyDescent="0.3">
      <c r="A4900" s="4">
        <v>4897</v>
      </c>
      <c r="B4900" s="5">
        <v>72090.590755726706</v>
      </c>
      <c r="C4900" s="19">
        <v>-10.461656400205793</v>
      </c>
      <c r="D4900" s="5">
        <v>143634.53463061011</v>
      </c>
      <c r="E4900" s="6">
        <v>99.241722289812316</v>
      </c>
    </row>
    <row r="4901" spans="1:5" x14ac:dyDescent="0.3">
      <c r="A4901" s="4">
        <v>4898</v>
      </c>
      <c r="B4901" s="5">
        <v>110607.81405128154</v>
      </c>
      <c r="C4901" s="19">
        <v>37.377712618606488</v>
      </c>
      <c r="D4901" s="5">
        <v>214054.62046413732</v>
      </c>
      <c r="E4901" s="6">
        <v>93.525766963348815</v>
      </c>
    </row>
    <row r="4902" spans="1:5" x14ac:dyDescent="0.3">
      <c r="A4902" s="4">
        <v>4899</v>
      </c>
      <c r="B4902" s="5">
        <v>61023.299545138667</v>
      </c>
      <c r="C4902" s="19">
        <v>-24.207513005686526</v>
      </c>
      <c r="D4902" s="5">
        <v>132189.60991666818</v>
      </c>
      <c r="E4902" s="6">
        <v>116.62153784209606</v>
      </c>
    </row>
    <row r="4903" spans="1:5" x14ac:dyDescent="0.3">
      <c r="A4903" s="4">
        <v>4900</v>
      </c>
      <c r="B4903" s="5">
        <v>42193.127408440734</v>
      </c>
      <c r="C4903" s="19">
        <v>-47.595064767217856</v>
      </c>
      <c r="D4903" s="5">
        <v>87580.45717023559</v>
      </c>
      <c r="E4903" s="6">
        <v>107.57043279213079</v>
      </c>
    </row>
    <row r="4904" spans="1:5" x14ac:dyDescent="0.3">
      <c r="A4904" s="4">
        <v>4901</v>
      </c>
      <c r="B4904" s="5">
        <v>71783.769157315372</v>
      </c>
      <c r="C4904" s="19">
        <v>-10.842736613509633</v>
      </c>
      <c r="D4904" s="5">
        <v>138302.09883984647</v>
      </c>
      <c r="E4904" s="6">
        <v>92.664860682858588</v>
      </c>
    </row>
    <row r="4905" spans="1:5" x14ac:dyDescent="0.3">
      <c r="A4905" s="4">
        <v>4902</v>
      </c>
      <c r="B4905" s="5">
        <v>48136.886135750981</v>
      </c>
      <c r="C4905" s="19">
        <v>-40.212765556999443</v>
      </c>
      <c r="D4905" s="5">
        <v>95067.104116476228</v>
      </c>
      <c r="E4905" s="6">
        <v>97.493256727028822</v>
      </c>
    </row>
    <row r="4906" spans="1:5" x14ac:dyDescent="0.3">
      <c r="A4906" s="4">
        <v>4903</v>
      </c>
      <c r="B4906" s="5">
        <v>62747.939920462748</v>
      </c>
      <c r="C4906" s="19">
        <v>-22.065465882850614</v>
      </c>
      <c r="D4906" s="5">
        <v>99535.447424324608</v>
      </c>
      <c r="E4906" s="6">
        <v>58.6274347022269</v>
      </c>
    </row>
    <row r="4907" spans="1:5" x14ac:dyDescent="0.3">
      <c r="A4907" s="4">
        <v>4904</v>
      </c>
      <c r="B4907" s="5">
        <v>59791.020227306231</v>
      </c>
      <c r="C4907" s="19">
        <v>-25.738035197478048</v>
      </c>
      <c r="D4907" s="5">
        <v>125421.81586849563</v>
      </c>
      <c r="E4907" s="6">
        <v>109.76697736831085</v>
      </c>
    </row>
    <row r="4908" spans="1:5" x14ac:dyDescent="0.3">
      <c r="A4908" s="4">
        <v>4905</v>
      </c>
      <c r="B4908" s="5">
        <v>44867.577910224514</v>
      </c>
      <c r="C4908" s="19">
        <v>-44.273329358213246</v>
      </c>
      <c r="D4908" s="5">
        <v>91767.729524664799</v>
      </c>
      <c r="E4908" s="6">
        <v>104.53016141919393</v>
      </c>
    </row>
    <row r="4909" spans="1:5" x14ac:dyDescent="0.3">
      <c r="A4909" s="4">
        <v>4906</v>
      </c>
      <c r="B4909" s="5">
        <v>38633.161465366742</v>
      </c>
      <c r="C4909" s="19">
        <v>-52.016632831413581</v>
      </c>
      <c r="D4909" s="5">
        <v>70666.664383847994</v>
      </c>
      <c r="E4909" s="6">
        <v>82.917114995101159</v>
      </c>
    </row>
    <row r="4910" spans="1:5" x14ac:dyDescent="0.3">
      <c r="A4910" s="4">
        <v>4907</v>
      </c>
      <c r="B4910" s="5">
        <v>111148.5534944731</v>
      </c>
      <c r="C4910" s="19">
        <v>38.049324732682564</v>
      </c>
      <c r="D4910" s="5">
        <v>211288.64756730592</v>
      </c>
      <c r="E4910" s="6">
        <v>90.095724077787764</v>
      </c>
    </row>
    <row r="4911" spans="1:5" x14ac:dyDescent="0.3">
      <c r="A4911" s="4">
        <v>4908</v>
      </c>
      <c r="B4911" s="5">
        <v>76364.466003673282</v>
      </c>
      <c r="C4911" s="19">
        <v>-5.1533948581418247</v>
      </c>
      <c r="D4911" s="5">
        <v>133688.27168658952</v>
      </c>
      <c r="E4911" s="6">
        <v>75.066072851421296</v>
      </c>
    </row>
    <row r="4912" spans="1:5" x14ac:dyDescent="0.3">
      <c r="A4912" s="4">
        <v>4909</v>
      </c>
      <c r="B4912" s="5">
        <v>53377.752687635024</v>
      </c>
      <c r="C4912" s="19">
        <v>-33.703476270228194</v>
      </c>
      <c r="D4912" s="5">
        <v>106275.71826055784</v>
      </c>
      <c r="E4912" s="6">
        <v>99.101147780574607</v>
      </c>
    </row>
    <row r="4913" spans="1:5" x14ac:dyDescent="0.3">
      <c r="A4913" s="4">
        <v>4910</v>
      </c>
      <c r="B4913" s="5">
        <v>85644.518764366367</v>
      </c>
      <c r="C4913" s="19">
        <v>6.372666226954081</v>
      </c>
      <c r="D4913" s="5">
        <v>143111.16730054573</v>
      </c>
      <c r="E4913" s="6">
        <v>67.099038403481785</v>
      </c>
    </row>
    <row r="4914" spans="1:5" x14ac:dyDescent="0.3">
      <c r="A4914" s="4">
        <v>4911</v>
      </c>
      <c r="B4914" s="5">
        <v>57895.095402988161</v>
      </c>
      <c r="C4914" s="19">
        <v>-28.092821953691249</v>
      </c>
      <c r="D4914" s="5">
        <v>113412.62104238242</v>
      </c>
      <c r="E4914" s="6">
        <v>95.893314024194211</v>
      </c>
    </row>
    <row r="4915" spans="1:5" x14ac:dyDescent="0.3">
      <c r="A4915" s="4">
        <v>4912</v>
      </c>
      <c r="B4915" s="5">
        <v>64614.842374046115</v>
      </c>
      <c r="C4915" s="19">
        <v>-19.746725647767054</v>
      </c>
      <c r="D4915" s="5">
        <v>110238.24920754836</v>
      </c>
      <c r="E4915" s="6">
        <v>70.608245965214692</v>
      </c>
    </row>
    <row r="4916" spans="1:5" x14ac:dyDescent="0.3">
      <c r="A4916" s="4">
        <v>4913</v>
      </c>
      <c r="B4916" s="5">
        <v>36823.574325945468</v>
      </c>
      <c r="C4916" s="19">
        <v>-54.264185991468651</v>
      </c>
      <c r="D4916" s="5">
        <v>70030.985615735481</v>
      </c>
      <c r="E4916" s="6">
        <v>90.179760921232599</v>
      </c>
    </row>
    <row r="4917" spans="1:5" x14ac:dyDescent="0.3">
      <c r="A4917" s="4">
        <v>4914</v>
      </c>
      <c r="B4917" s="5">
        <v>46233.202071240434</v>
      </c>
      <c r="C4917" s="19">
        <v>-42.577189486485103</v>
      </c>
      <c r="D4917" s="5">
        <v>94437.402829289131</v>
      </c>
      <c r="E4917" s="6">
        <v>104.26316715803323</v>
      </c>
    </row>
    <row r="4918" spans="1:5" x14ac:dyDescent="0.3">
      <c r="A4918" s="4">
        <v>4915</v>
      </c>
      <c r="B4918" s="5">
        <v>59191.249714661477</v>
      </c>
      <c r="C4918" s="19">
        <v>-26.482965398205316</v>
      </c>
      <c r="D4918" s="5">
        <v>115417.23512881641</v>
      </c>
      <c r="E4918" s="6">
        <v>94.990367132302566</v>
      </c>
    </row>
    <row r="4919" spans="1:5" x14ac:dyDescent="0.3">
      <c r="A4919" s="4">
        <v>4916</v>
      </c>
      <c r="B4919" s="5">
        <v>61382.254268645484</v>
      </c>
      <c r="C4919" s="19">
        <v>-23.761682127714849</v>
      </c>
      <c r="D4919" s="5">
        <v>113226.90612332837</v>
      </c>
      <c r="E4919" s="6">
        <v>84.461954798498709</v>
      </c>
    </row>
    <row r="4920" spans="1:5" x14ac:dyDescent="0.3">
      <c r="A4920" s="4">
        <v>4917</v>
      </c>
      <c r="B4920" s="5">
        <v>109321.90450889138</v>
      </c>
      <c r="C4920" s="19">
        <v>35.780580326614029</v>
      </c>
      <c r="D4920" s="5">
        <v>172452.93687939306</v>
      </c>
      <c r="E4920" s="6">
        <v>57.747834392481792</v>
      </c>
    </row>
    <row r="4921" spans="1:5" x14ac:dyDescent="0.3">
      <c r="A4921" s="4">
        <v>4918</v>
      </c>
      <c r="B4921" s="5">
        <v>69236.628703498369</v>
      </c>
      <c r="C4921" s="19">
        <v>-14.006349711418467</v>
      </c>
      <c r="D4921" s="5">
        <v>131193.35015543783</v>
      </c>
      <c r="E4921" s="6">
        <v>89.485468331026539</v>
      </c>
    </row>
    <row r="4922" spans="1:5" x14ac:dyDescent="0.3">
      <c r="A4922" s="4">
        <v>4919</v>
      </c>
      <c r="B4922" s="5">
        <v>67380.424750757098</v>
      </c>
      <c r="C4922" s="19">
        <v>-16.311802136895245</v>
      </c>
      <c r="D4922" s="5">
        <v>125501.47368996337</v>
      </c>
      <c r="E4922" s="6">
        <v>86.258062566685169</v>
      </c>
    </row>
    <row r="4923" spans="1:5" x14ac:dyDescent="0.3">
      <c r="A4923" s="4">
        <v>4920</v>
      </c>
      <c r="B4923" s="5">
        <v>47316.114743265418</v>
      </c>
      <c r="C4923" s="19">
        <v>-41.232184460171851</v>
      </c>
      <c r="D4923" s="5">
        <v>76751.440568361271</v>
      </c>
      <c r="E4923" s="6">
        <v>62.209938378943995</v>
      </c>
    </row>
    <row r="4924" spans="1:5" x14ac:dyDescent="0.3">
      <c r="A4924" s="4">
        <v>4921</v>
      </c>
      <c r="B4924" s="5">
        <v>59053.172461486633</v>
      </c>
      <c r="C4924" s="19">
        <v>-26.654460851474337</v>
      </c>
      <c r="D4924" s="5">
        <v>122733.41398569471</v>
      </c>
      <c r="E4924" s="6">
        <v>107.8354284280648</v>
      </c>
    </row>
    <row r="4925" spans="1:5" x14ac:dyDescent="0.3">
      <c r="A4925" s="4">
        <v>4922</v>
      </c>
      <c r="B4925" s="5">
        <v>66041.85277553818</v>
      </c>
      <c r="C4925" s="19">
        <v>-17.974342507195733</v>
      </c>
      <c r="D4925" s="5">
        <v>124773.04849500873</v>
      </c>
      <c r="E4925" s="6">
        <v>88.930266567603795</v>
      </c>
    </row>
    <row r="4926" spans="1:5" x14ac:dyDescent="0.3">
      <c r="A4926" s="4">
        <v>4923</v>
      </c>
      <c r="B4926" s="5">
        <v>79393.839615090415</v>
      </c>
      <c r="C4926" s="19">
        <v>-1.3908359379311503</v>
      </c>
      <c r="D4926" s="5">
        <v>153014.79370654671</v>
      </c>
      <c r="E4926" s="6">
        <v>92.728799171797633</v>
      </c>
    </row>
    <row r="4927" spans="1:5" x14ac:dyDescent="0.3">
      <c r="A4927" s="4">
        <v>4924</v>
      </c>
      <c r="B4927" s="5">
        <v>61864.540209837127</v>
      </c>
      <c r="C4927" s="19">
        <v>-23.162670746852541</v>
      </c>
      <c r="D4927" s="5">
        <v>113926.93977417357</v>
      </c>
      <c r="E4927" s="6">
        <v>84.155478061821867</v>
      </c>
    </row>
    <row r="4928" spans="1:5" x14ac:dyDescent="0.3">
      <c r="A4928" s="4">
        <v>4925</v>
      </c>
      <c r="B4928" s="5">
        <v>73643.203843031864</v>
      </c>
      <c r="C4928" s="19">
        <v>-8.5332715356716751</v>
      </c>
      <c r="D4928" s="5">
        <v>141179.58812916494</v>
      </c>
      <c r="E4928" s="6">
        <v>91.707558555009001</v>
      </c>
    </row>
    <row r="4929" spans="1:5" x14ac:dyDescent="0.3">
      <c r="A4929" s="4">
        <v>4926</v>
      </c>
      <c r="B4929" s="5">
        <v>81508.597981027749</v>
      </c>
      <c r="C4929" s="19">
        <v>1.2357476316423128</v>
      </c>
      <c r="D4929" s="5">
        <v>147801.75695685804</v>
      </c>
      <c r="E4929" s="6">
        <v>81.332719023410178</v>
      </c>
    </row>
    <row r="4930" spans="1:5" x14ac:dyDescent="0.3">
      <c r="A4930" s="4">
        <v>4927</v>
      </c>
      <c r="B4930" s="5">
        <v>84301.812218830557</v>
      </c>
      <c r="C4930" s="19">
        <v>4.7049906153718881</v>
      </c>
      <c r="D4930" s="5">
        <v>152345.71469733218</v>
      </c>
      <c r="E4930" s="6">
        <v>80.714637903481048</v>
      </c>
    </row>
    <row r="4931" spans="1:5" x14ac:dyDescent="0.3">
      <c r="A4931" s="4">
        <v>4928</v>
      </c>
      <c r="B4931" s="5">
        <v>20190.181057803173</v>
      </c>
      <c r="C4931" s="19">
        <v>-74.92328263724167</v>
      </c>
      <c r="D4931" s="5">
        <v>40781.844284507526</v>
      </c>
      <c r="E4931" s="6">
        <v>101.9885020731204</v>
      </c>
    </row>
    <row r="4932" spans="1:5" x14ac:dyDescent="0.3">
      <c r="A4932" s="4">
        <v>4929</v>
      </c>
      <c r="B4932" s="5">
        <v>97139.699379222366</v>
      </c>
      <c r="C4932" s="19">
        <v>20.649972333686296</v>
      </c>
      <c r="D4932" s="5">
        <v>205672.00330237934</v>
      </c>
      <c r="E4932" s="6">
        <v>111.72806238514201</v>
      </c>
    </row>
    <row r="4933" spans="1:5" x14ac:dyDescent="0.3">
      <c r="A4933" s="4">
        <v>4930</v>
      </c>
      <c r="B4933" s="5">
        <v>64814.146580850836</v>
      </c>
      <c r="C4933" s="19">
        <v>-19.499184763961104</v>
      </c>
      <c r="D4933" s="5">
        <v>114907.46901876151</v>
      </c>
      <c r="E4933" s="6">
        <v>77.287637160234709</v>
      </c>
    </row>
    <row r="4934" spans="1:5" x14ac:dyDescent="0.3">
      <c r="A4934" s="4">
        <v>4931</v>
      </c>
      <c r="B4934" s="5">
        <v>34924.466437495139</v>
      </c>
      <c r="C4934" s="19">
        <v>-56.622926194130088</v>
      </c>
      <c r="D4934" s="5">
        <v>70170.061847871126</v>
      </c>
      <c r="E4934" s="6">
        <v>100.91949571643586</v>
      </c>
    </row>
    <row r="4935" spans="1:5" x14ac:dyDescent="0.3">
      <c r="A4935" s="4">
        <v>4932</v>
      </c>
      <c r="B4935" s="5">
        <v>78904.654758472709</v>
      </c>
      <c r="C4935" s="19">
        <v>-1.9984159468683478</v>
      </c>
      <c r="D4935" s="5">
        <v>152464.19356280859</v>
      </c>
      <c r="E4935" s="6">
        <v>93.225854709714866</v>
      </c>
    </row>
    <row r="4936" spans="1:5" x14ac:dyDescent="0.3">
      <c r="A4936" s="4">
        <v>4933</v>
      </c>
      <c r="B4936" s="5">
        <v>65451.867431269944</v>
      </c>
      <c r="C4936" s="19">
        <v>-18.707119280421658</v>
      </c>
      <c r="D4936" s="5">
        <v>129565.15167786396</v>
      </c>
      <c r="E4936" s="6">
        <v>97.954858681333192</v>
      </c>
    </row>
    <row r="4937" spans="1:5" x14ac:dyDescent="0.3">
      <c r="A4937" s="4">
        <v>4934</v>
      </c>
      <c r="B4937" s="5">
        <v>58810.854306144574</v>
      </c>
      <c r="C4937" s="19">
        <v>-26.955426151190125</v>
      </c>
      <c r="D4937" s="5">
        <v>115878.99418986151</v>
      </c>
      <c r="E4937" s="6">
        <v>97.03674696960563</v>
      </c>
    </row>
    <row r="4938" spans="1:5" x14ac:dyDescent="0.3">
      <c r="A4938" s="4">
        <v>4935</v>
      </c>
      <c r="B4938" s="5">
        <v>33437.567167477697</v>
      </c>
      <c r="C4938" s="19">
        <v>-58.46969282957383</v>
      </c>
      <c r="D4938" s="5">
        <v>66771.318973212823</v>
      </c>
      <c r="E4938" s="6">
        <v>99.689524775464093</v>
      </c>
    </row>
    <row r="4939" spans="1:5" x14ac:dyDescent="0.3">
      <c r="A4939" s="4">
        <v>4936</v>
      </c>
      <c r="B4939" s="5">
        <v>45618.024524968823</v>
      </c>
      <c r="C4939" s="19">
        <v>-43.341255614054887</v>
      </c>
      <c r="D4939" s="5">
        <v>80270.611863143728</v>
      </c>
      <c r="E4939" s="6">
        <v>75.962490044276166</v>
      </c>
    </row>
    <row r="4940" spans="1:5" x14ac:dyDescent="0.3">
      <c r="A4940" s="4">
        <v>4937</v>
      </c>
      <c r="B4940" s="5">
        <v>45995.938989259826</v>
      </c>
      <c r="C4940" s="19">
        <v>-42.871876256772644</v>
      </c>
      <c r="D4940" s="5">
        <v>85176.253916540882</v>
      </c>
      <c r="E4940" s="6">
        <v>85.182117787463284</v>
      </c>
    </row>
    <row r="4941" spans="1:5" x14ac:dyDescent="0.3">
      <c r="A4941" s="4">
        <v>4938</v>
      </c>
      <c r="B4941" s="5">
        <v>53845.060773499325</v>
      </c>
      <c r="C4941" s="19">
        <v>-33.12306776586653</v>
      </c>
      <c r="D4941" s="5">
        <v>91690.910428081872</v>
      </c>
      <c r="E4941" s="6">
        <v>70.28657617043487</v>
      </c>
    </row>
    <row r="4942" spans="1:5" x14ac:dyDescent="0.3">
      <c r="A4942" s="4">
        <v>4939</v>
      </c>
      <c r="B4942" s="5">
        <v>53351.812313385337</v>
      </c>
      <c r="C4942" s="19">
        <v>-33.735694873492882</v>
      </c>
      <c r="D4942" s="5">
        <v>104231.83514795473</v>
      </c>
      <c r="E4942" s="6">
        <v>95.366999973127804</v>
      </c>
    </row>
    <row r="4943" spans="1:5" x14ac:dyDescent="0.3">
      <c r="A4943" s="4">
        <v>4940</v>
      </c>
      <c r="B4943" s="5">
        <v>83756.105801861006</v>
      </c>
      <c r="C4943" s="19">
        <v>4.0272093937864506</v>
      </c>
      <c r="D4943" s="5">
        <v>154114.18047616139</v>
      </c>
      <c r="E4943" s="6">
        <v>84.00351711759869</v>
      </c>
    </row>
    <row r="4944" spans="1:5" x14ac:dyDescent="0.3">
      <c r="A4944" s="4">
        <v>4941</v>
      </c>
      <c r="B4944" s="5">
        <v>138952.38628516451</v>
      </c>
      <c r="C4944" s="19">
        <v>72.582390805613755</v>
      </c>
      <c r="D4944" s="5">
        <v>239766.62058640979</v>
      </c>
      <c r="E4944" s="6">
        <v>72.553078789413263</v>
      </c>
    </row>
    <row r="4945" spans="1:5" x14ac:dyDescent="0.3">
      <c r="A4945" s="4">
        <v>4942</v>
      </c>
      <c r="B4945" s="5">
        <v>76473.948136190389</v>
      </c>
      <c r="C4945" s="19">
        <v>-5.0174152705619273</v>
      </c>
      <c r="D4945" s="5">
        <v>146833.35013919362</v>
      </c>
      <c r="E4945" s="6">
        <v>92.00440636032296</v>
      </c>
    </row>
    <row r="4946" spans="1:5" x14ac:dyDescent="0.3">
      <c r="A4946" s="4">
        <v>4943</v>
      </c>
      <c r="B4946" s="5">
        <v>52556.525424919644</v>
      </c>
      <c r="C4946" s="19">
        <v>-34.723461375797427</v>
      </c>
      <c r="D4946" s="5">
        <v>109546.23639405494</v>
      </c>
      <c r="E4946" s="6">
        <v>108.43508110243845</v>
      </c>
    </row>
    <row r="4947" spans="1:5" x14ac:dyDescent="0.3">
      <c r="A4947" s="4">
        <v>4944</v>
      </c>
      <c r="B4947" s="5">
        <v>132528.90313768314</v>
      </c>
      <c r="C4947" s="19">
        <v>64.604261688659804</v>
      </c>
      <c r="D4947" s="5">
        <v>231530.4132519853</v>
      </c>
      <c r="E4947" s="6">
        <v>74.701825617201649</v>
      </c>
    </row>
    <row r="4948" spans="1:5" x14ac:dyDescent="0.3">
      <c r="A4948" s="4">
        <v>4945</v>
      </c>
      <c r="B4948" s="5">
        <v>66438.940300068236</v>
      </c>
      <c r="C4948" s="19">
        <v>-17.481149722425279</v>
      </c>
      <c r="D4948" s="5">
        <v>105350.31476391773</v>
      </c>
      <c r="E4948" s="6">
        <v>58.567120860308982</v>
      </c>
    </row>
    <row r="4949" spans="1:5" x14ac:dyDescent="0.3">
      <c r="A4949" s="4">
        <v>4946</v>
      </c>
      <c r="B4949" s="5">
        <v>72583.066518707346</v>
      </c>
      <c r="C4949" s="19">
        <v>-9.8499890020324941</v>
      </c>
      <c r="D4949" s="5">
        <v>133622.75644792744</v>
      </c>
      <c r="E4949" s="6">
        <v>84.096322815856652</v>
      </c>
    </row>
    <row r="4950" spans="1:5" x14ac:dyDescent="0.3">
      <c r="A4950" s="4">
        <v>4947</v>
      </c>
      <c r="B4950" s="5">
        <v>39851.204052284724</v>
      </c>
      <c r="C4950" s="19">
        <v>-50.503793020789878</v>
      </c>
      <c r="D4950" s="5">
        <v>78439.264411641008</v>
      </c>
      <c r="E4950" s="6">
        <v>96.830349990752609</v>
      </c>
    </row>
    <row r="4951" spans="1:5" x14ac:dyDescent="0.3">
      <c r="A4951" s="4">
        <v>4948</v>
      </c>
      <c r="B4951" s="5">
        <v>37550.89694148791</v>
      </c>
      <c r="C4951" s="19">
        <v>-53.360832841277315</v>
      </c>
      <c r="D4951" s="5">
        <v>73398.589764267294</v>
      </c>
      <c r="E4951" s="6">
        <v>95.46427846620422</v>
      </c>
    </row>
    <row r="4952" spans="1:5" x14ac:dyDescent="0.3">
      <c r="A4952" s="4">
        <v>4949</v>
      </c>
      <c r="B4952" s="5">
        <v>41890.080230417298</v>
      </c>
      <c r="C4952" s="19">
        <v>-47.971457054593522</v>
      </c>
      <c r="D4952" s="5">
        <v>81858.979961087782</v>
      </c>
      <c r="E4952" s="6">
        <v>95.413757889268012</v>
      </c>
    </row>
    <row r="4953" spans="1:5" x14ac:dyDescent="0.3">
      <c r="A4953" s="4">
        <v>4950</v>
      </c>
      <c r="B4953" s="5">
        <v>71014.352652969508</v>
      </c>
      <c r="C4953" s="19">
        <v>-11.798371442067335</v>
      </c>
      <c r="D4953" s="5">
        <v>133951.49752572912</v>
      </c>
      <c r="E4953" s="6">
        <v>88.625950278415814</v>
      </c>
    </row>
    <row r="4954" spans="1:5" x14ac:dyDescent="0.3">
      <c r="A4954" s="4">
        <v>4951</v>
      </c>
      <c r="B4954" s="5">
        <v>70020.972329091601</v>
      </c>
      <c r="C4954" s="19">
        <v>-13.032175019375227</v>
      </c>
      <c r="D4954" s="5">
        <v>133269.84566743299</v>
      </c>
      <c r="E4954" s="6">
        <v>90.328470506062075</v>
      </c>
    </row>
    <row r="4955" spans="1:5" x14ac:dyDescent="0.3">
      <c r="A4955" s="4">
        <v>4952</v>
      </c>
      <c r="B4955" s="5">
        <v>52279.212045048836</v>
      </c>
      <c r="C4955" s="19">
        <v>-35.067891632664477</v>
      </c>
      <c r="D4955" s="5">
        <v>100471.1910770117</v>
      </c>
      <c r="E4955" s="6">
        <v>92.181915424501767</v>
      </c>
    </row>
    <row r="4956" spans="1:5" x14ac:dyDescent="0.3">
      <c r="A4956" s="4">
        <v>4953</v>
      </c>
      <c r="B4956" s="5">
        <v>72320.933831937247</v>
      </c>
      <c r="C4956" s="19">
        <v>-10.175564452735731</v>
      </c>
      <c r="D4956" s="5">
        <v>138540.04138381034</v>
      </c>
      <c r="E4956" s="6">
        <v>91.562849154791252</v>
      </c>
    </row>
    <row r="4957" spans="1:5" x14ac:dyDescent="0.3">
      <c r="A4957" s="4">
        <v>4954</v>
      </c>
      <c r="B4957" s="5">
        <v>135838.28699117308</v>
      </c>
      <c r="C4957" s="19">
        <v>68.714600437047082</v>
      </c>
      <c r="D4957" s="5">
        <v>279044.17937906599</v>
      </c>
      <c r="E4957" s="6">
        <v>105.42380617417429</v>
      </c>
    </row>
    <row r="4958" spans="1:5" x14ac:dyDescent="0.3">
      <c r="A4958" s="4">
        <v>4955</v>
      </c>
      <c r="B4958" s="5">
        <v>45151.474292500701</v>
      </c>
      <c r="C4958" s="19">
        <v>-43.920722845261842</v>
      </c>
      <c r="D4958" s="5">
        <v>97621.523302418092</v>
      </c>
      <c r="E4958" s="6">
        <v>116.20893853876272</v>
      </c>
    </row>
    <row r="4959" spans="1:5" x14ac:dyDescent="0.3">
      <c r="A4959" s="4">
        <v>4956</v>
      </c>
      <c r="B4959" s="5">
        <v>42306.478855538997</v>
      </c>
      <c r="C4959" s="19">
        <v>-47.454279392713048</v>
      </c>
      <c r="D4959" s="5">
        <v>77139.849213894326</v>
      </c>
      <c r="E4959" s="6">
        <v>82.335782368696826</v>
      </c>
    </row>
    <row r="4960" spans="1:5" x14ac:dyDescent="0.3">
      <c r="A4960" s="4">
        <v>4957</v>
      </c>
      <c r="B4960" s="5">
        <v>36607.667390718911</v>
      </c>
      <c r="C4960" s="19">
        <v>-54.532347885402899</v>
      </c>
      <c r="D4960" s="5">
        <v>75002.664052739317</v>
      </c>
      <c r="E4960" s="6">
        <v>104.88239049001695</v>
      </c>
    </row>
    <row r="4961" spans="1:5" x14ac:dyDescent="0.3">
      <c r="A4961" s="4">
        <v>4958</v>
      </c>
      <c r="B4961" s="5">
        <v>118294.77319075922</v>
      </c>
      <c r="C4961" s="19">
        <v>46.925110988531145</v>
      </c>
      <c r="D4961" s="5">
        <v>202426.7331168144</v>
      </c>
      <c r="E4961" s="6">
        <v>71.120606309786865</v>
      </c>
    </row>
    <row r="4962" spans="1:5" x14ac:dyDescent="0.3">
      <c r="A4962" s="4">
        <v>4959</v>
      </c>
      <c r="B4962" s="5">
        <v>51414.451974092808</v>
      </c>
      <c r="C4962" s="19">
        <v>-36.141945591065323</v>
      </c>
      <c r="D4962" s="5">
        <v>86836.14050295185</v>
      </c>
      <c r="E4962" s="6">
        <v>68.894420087775416</v>
      </c>
    </row>
    <row r="4963" spans="1:5" x14ac:dyDescent="0.3">
      <c r="A4963" s="4">
        <v>4960</v>
      </c>
      <c r="B4963" s="5">
        <v>55649.270984941977</v>
      </c>
      <c r="C4963" s="19">
        <v>-30.882192886843896</v>
      </c>
      <c r="D4963" s="5">
        <v>122205.2499646708</v>
      </c>
      <c r="E4963" s="6">
        <v>119.59901325165261</v>
      </c>
    </row>
    <row r="4964" spans="1:5" x14ac:dyDescent="0.3">
      <c r="A4964" s="4">
        <v>4961</v>
      </c>
      <c r="B4964" s="5">
        <v>95872.317713805023</v>
      </c>
      <c r="C4964" s="19">
        <v>19.075852135188647</v>
      </c>
      <c r="D4964" s="5">
        <v>159165.73056823068</v>
      </c>
      <c r="E4964" s="6">
        <v>66.018444493401233</v>
      </c>
    </row>
    <row r="4965" spans="1:5" x14ac:dyDescent="0.3">
      <c r="A4965" s="4">
        <v>4962</v>
      </c>
      <c r="B4965" s="5">
        <v>47940.796728640853</v>
      </c>
      <c r="C4965" s="19">
        <v>-40.456313577983188</v>
      </c>
      <c r="D4965" s="5">
        <v>92405.170209630262</v>
      </c>
      <c r="E4965" s="6">
        <v>92.748507565844122</v>
      </c>
    </row>
    <row r="4966" spans="1:5" x14ac:dyDescent="0.3">
      <c r="A4966" s="4">
        <v>4963</v>
      </c>
      <c r="B4966" s="5">
        <v>61419.197988549124</v>
      </c>
      <c r="C4966" s="19">
        <v>-23.715797089849154</v>
      </c>
      <c r="D4966" s="5">
        <v>130330.08617781816</v>
      </c>
      <c r="E4966" s="6">
        <v>112.19763599341795</v>
      </c>
    </row>
    <row r="4967" spans="1:5" x14ac:dyDescent="0.3">
      <c r="A4967" s="4">
        <v>4964</v>
      </c>
      <c r="B4967" s="5">
        <v>35551.492432395971</v>
      </c>
      <c r="C4967" s="19">
        <v>-55.844143992612707</v>
      </c>
      <c r="D4967" s="5">
        <v>63323.79100745434</v>
      </c>
      <c r="E4967" s="6">
        <v>78.11851676232618</v>
      </c>
    </row>
    <row r="4968" spans="1:5" x14ac:dyDescent="0.3">
      <c r="A4968" s="4">
        <v>4965</v>
      </c>
      <c r="B4968" s="5">
        <v>64497.395170823278</v>
      </c>
      <c r="C4968" s="19">
        <v>-19.892598055341491</v>
      </c>
      <c r="D4968" s="5">
        <v>119380.08033426624</v>
      </c>
      <c r="E4968" s="6">
        <v>85.092870833131371</v>
      </c>
    </row>
    <row r="4969" spans="1:5" x14ac:dyDescent="0.3">
      <c r="A4969" s="4">
        <v>4966</v>
      </c>
      <c r="B4969" s="5">
        <v>131443.54425848176</v>
      </c>
      <c r="C4969" s="19">
        <v>63.256218410941202</v>
      </c>
      <c r="D4969" s="5">
        <v>219382.05253793226</v>
      </c>
      <c r="E4969" s="6">
        <v>66.90211282383008</v>
      </c>
    </row>
    <row r="4970" spans="1:5" x14ac:dyDescent="0.3">
      <c r="A4970" s="4">
        <v>4967</v>
      </c>
      <c r="B4970" s="5">
        <v>85440.797253058612</v>
      </c>
      <c r="C4970" s="19">
        <v>6.1196389388305734</v>
      </c>
      <c r="D4970" s="5">
        <v>157068.62669648635</v>
      </c>
      <c r="E4970" s="6">
        <v>83.833287780871686</v>
      </c>
    </row>
    <row r="4971" spans="1:5" x14ac:dyDescent="0.3">
      <c r="A4971" s="4">
        <v>4968</v>
      </c>
      <c r="B4971" s="5">
        <v>79364.917722851838</v>
      </c>
      <c r="C4971" s="19">
        <v>-1.4267576622181473</v>
      </c>
      <c r="D4971" s="5">
        <v>130231.79070375999</v>
      </c>
      <c r="E4971" s="6">
        <v>64.092390492407532</v>
      </c>
    </row>
    <row r="4972" spans="1:5" x14ac:dyDescent="0.3">
      <c r="A4972" s="4">
        <v>4969</v>
      </c>
      <c r="B4972" s="5">
        <v>79732.469284707593</v>
      </c>
      <c r="C4972" s="19">
        <v>-0.97024929280285988</v>
      </c>
      <c r="D4972" s="5">
        <v>167787.27697453651</v>
      </c>
      <c r="E4972" s="6">
        <v>110.43782850297039</v>
      </c>
    </row>
    <row r="4973" spans="1:5" x14ac:dyDescent="0.3">
      <c r="A4973" s="4">
        <v>4970</v>
      </c>
      <c r="B4973" s="5">
        <v>48403.547626268679</v>
      </c>
      <c r="C4973" s="19">
        <v>-39.881565217086703</v>
      </c>
      <c r="D4973" s="5">
        <v>79989.932703232902</v>
      </c>
      <c r="E4973" s="6">
        <v>65.256343028506123</v>
      </c>
    </row>
    <row r="4974" spans="1:5" x14ac:dyDescent="0.3">
      <c r="A4974" s="4">
        <v>4971</v>
      </c>
      <c r="B4974" s="5">
        <v>61700.227725557139</v>
      </c>
      <c r="C4974" s="19">
        <v>-23.366751023085104</v>
      </c>
      <c r="D4974" s="5">
        <v>116978.76449432781</v>
      </c>
      <c r="E4974" s="6">
        <v>89.592111417562066</v>
      </c>
    </row>
    <row r="4975" spans="1:5" x14ac:dyDescent="0.3">
      <c r="A4975" s="4">
        <v>4972</v>
      </c>
      <c r="B4975" s="5">
        <v>58281.250769716615</v>
      </c>
      <c r="C4975" s="19">
        <v>-27.613207186402217</v>
      </c>
      <c r="D4975" s="5">
        <v>107099.29609023576</v>
      </c>
      <c r="E4975" s="6">
        <v>83.762864859251394</v>
      </c>
    </row>
    <row r="4976" spans="1:5" x14ac:dyDescent="0.3">
      <c r="A4976" s="4">
        <v>4973</v>
      </c>
      <c r="B4976" s="5">
        <v>115211.44670456224</v>
      </c>
      <c r="C4976" s="19">
        <v>43.095541228353802</v>
      </c>
      <c r="D4976" s="5">
        <v>191029.12666592177</v>
      </c>
      <c r="E4976" s="6">
        <v>65.807419427497933</v>
      </c>
    </row>
    <row r="4977" spans="1:5" x14ac:dyDescent="0.3">
      <c r="A4977" s="4">
        <v>4974</v>
      </c>
      <c r="B4977" s="5">
        <v>122111.77038599967</v>
      </c>
      <c r="C4977" s="19">
        <v>51.665918392162254</v>
      </c>
      <c r="D4977" s="5">
        <v>254412.89529470494</v>
      </c>
      <c r="E4977" s="6">
        <v>108.34428531377172</v>
      </c>
    </row>
    <row r="4978" spans="1:5" x14ac:dyDescent="0.3">
      <c r="A4978" s="4">
        <v>4975</v>
      </c>
      <c r="B4978" s="5">
        <v>96974.72405560383</v>
      </c>
      <c r="C4978" s="19">
        <v>20.445068794170357</v>
      </c>
      <c r="D4978" s="5">
        <v>201187.66677024684</v>
      </c>
      <c r="E4978" s="6">
        <v>107.46402604341405</v>
      </c>
    </row>
    <row r="4979" spans="1:5" x14ac:dyDescent="0.3">
      <c r="A4979" s="4">
        <v>4976</v>
      </c>
      <c r="B4979" s="5">
        <v>56258.85450024977</v>
      </c>
      <c r="C4979" s="19">
        <v>-30.125074687724911</v>
      </c>
      <c r="D4979" s="5">
        <v>112449.7221482685</v>
      </c>
      <c r="E4979" s="6">
        <v>99.879153507772287</v>
      </c>
    </row>
    <row r="4980" spans="1:5" x14ac:dyDescent="0.3">
      <c r="A4980" s="4">
        <v>4977</v>
      </c>
      <c r="B4980" s="5">
        <v>45881.478607867313</v>
      </c>
      <c r="C4980" s="19">
        <v>-43.014038955819082</v>
      </c>
      <c r="D4980" s="5">
        <v>74609.644800809008</v>
      </c>
      <c r="E4980" s="6">
        <v>62.613863076364908</v>
      </c>
    </row>
    <row r="4981" spans="1:5" x14ac:dyDescent="0.3">
      <c r="A4981" s="4">
        <v>4978</v>
      </c>
      <c r="B4981" s="5">
        <v>39773.415930278672</v>
      </c>
      <c r="C4981" s="19">
        <v>-50.600407842823458</v>
      </c>
      <c r="D4981" s="5">
        <v>83909.539832171344</v>
      </c>
      <c r="E4981" s="6">
        <v>110.9689044040413</v>
      </c>
    </row>
    <row r="4982" spans="1:5" x14ac:dyDescent="0.3">
      <c r="A4982" s="4">
        <v>4979</v>
      </c>
      <c r="B4982" s="5">
        <v>36425.243706143272</v>
      </c>
      <c r="C4982" s="19">
        <v>-54.758922732120695</v>
      </c>
      <c r="D4982" s="5">
        <v>68817.516558744232</v>
      </c>
      <c r="E4982" s="6">
        <v>88.928088206964745</v>
      </c>
    </row>
    <row r="4983" spans="1:5" x14ac:dyDescent="0.3">
      <c r="A4983" s="4">
        <v>4980</v>
      </c>
      <c r="B4983" s="5">
        <v>43742.408794804011</v>
      </c>
      <c r="C4983" s="19">
        <v>-45.670817959822386</v>
      </c>
      <c r="D4983" s="5">
        <v>101284.94858461374</v>
      </c>
      <c r="E4983" s="6">
        <v>131.54863066581964</v>
      </c>
    </row>
    <row r="4984" spans="1:5" x14ac:dyDescent="0.3">
      <c r="A4984" s="4">
        <v>4981</v>
      </c>
      <c r="B4984" s="5">
        <v>57569.720123591658</v>
      </c>
      <c r="C4984" s="19">
        <v>-28.496946309728223</v>
      </c>
      <c r="D4984" s="5">
        <v>120313.40075187509</v>
      </c>
      <c r="E4984" s="6">
        <v>108.98729487234648</v>
      </c>
    </row>
    <row r="4985" spans="1:5" x14ac:dyDescent="0.3">
      <c r="A4985" s="4">
        <v>4982</v>
      </c>
      <c r="B4985" s="5">
        <v>52542.586108420888</v>
      </c>
      <c r="C4985" s="19">
        <v>-34.740774360711654</v>
      </c>
      <c r="D4985" s="5">
        <v>95229.301565799964</v>
      </c>
      <c r="E4985" s="6">
        <v>81.242128754941064</v>
      </c>
    </row>
    <row r="4986" spans="1:5" x14ac:dyDescent="0.3">
      <c r="A4986" s="4">
        <v>4983</v>
      </c>
      <c r="B4986" s="5">
        <v>34866.266179366525</v>
      </c>
      <c r="C4986" s="19">
        <v>-56.695212392027592</v>
      </c>
      <c r="D4986" s="5">
        <v>66706.153374898407</v>
      </c>
      <c r="E4986" s="6">
        <v>91.320037057407603</v>
      </c>
    </row>
    <row r="4987" spans="1:5" x14ac:dyDescent="0.3">
      <c r="A4987" s="4">
        <v>4984</v>
      </c>
      <c r="B4987" s="5">
        <v>19640.227945556435</v>
      </c>
      <c r="C4987" s="19">
        <v>-75.606338362155583</v>
      </c>
      <c r="D4987" s="5">
        <v>45203.267548532</v>
      </c>
      <c r="E4987" s="6">
        <v>130.15653216366644</v>
      </c>
    </row>
    <row r="4988" spans="1:5" x14ac:dyDescent="0.3">
      <c r="A4988" s="4">
        <v>4985</v>
      </c>
      <c r="B4988" s="5">
        <v>67167.841770912695</v>
      </c>
      <c r="C4988" s="19">
        <v>-16.575835593872629</v>
      </c>
      <c r="D4988" s="5">
        <v>109669.57573566481</v>
      </c>
      <c r="E4988" s="6">
        <v>63.276908776839193</v>
      </c>
    </row>
    <row r="4989" spans="1:5" x14ac:dyDescent="0.3">
      <c r="A4989" s="4">
        <v>4986</v>
      </c>
      <c r="B4989" s="5">
        <v>76540.91180078467</v>
      </c>
      <c r="C4989" s="19">
        <v>-4.9342446993918214</v>
      </c>
      <c r="D4989" s="5">
        <v>140064.78668906668</v>
      </c>
      <c r="E4989" s="6">
        <v>82.993360535888968</v>
      </c>
    </row>
    <row r="4990" spans="1:5" x14ac:dyDescent="0.3">
      <c r="A4990" s="4">
        <v>4987</v>
      </c>
      <c r="B4990" s="5">
        <v>88276.808945177429</v>
      </c>
      <c r="C4990" s="19">
        <v>9.6420374471518073</v>
      </c>
      <c r="D4990" s="5">
        <v>137896.02839922489</v>
      </c>
      <c r="E4990" s="6">
        <v>56.208669124936876</v>
      </c>
    </row>
    <row r="4991" spans="1:5" x14ac:dyDescent="0.3">
      <c r="A4991" s="4">
        <v>4988</v>
      </c>
      <c r="B4991" s="5">
        <v>40007.465862308534</v>
      </c>
      <c r="C4991" s="19">
        <v>-50.309711886334384</v>
      </c>
      <c r="D4991" s="5">
        <v>78493.401849604968</v>
      </c>
      <c r="E4991" s="6">
        <v>96.196885150764942</v>
      </c>
    </row>
    <row r="4992" spans="1:5" x14ac:dyDescent="0.3">
      <c r="A4992" s="4">
        <v>4989</v>
      </c>
      <c r="B4992" s="5">
        <v>146166.27705928867</v>
      </c>
      <c r="C4992" s="19">
        <v>81.542226257837498</v>
      </c>
      <c r="D4992" s="5">
        <v>264720.849058224</v>
      </c>
      <c r="E4992" s="6">
        <v>81.10938746209338</v>
      </c>
    </row>
    <row r="4993" spans="1:5" x14ac:dyDescent="0.3">
      <c r="A4993" s="4">
        <v>4990</v>
      </c>
      <c r="B4993" s="5">
        <v>66725.355507402477</v>
      </c>
      <c r="C4993" s="19">
        <v>-17.125414764816231</v>
      </c>
      <c r="D4993" s="5">
        <v>118418.64237294103</v>
      </c>
      <c r="E4993" s="6">
        <v>77.471729408476094</v>
      </c>
    </row>
    <row r="4994" spans="1:5" x14ac:dyDescent="0.3">
      <c r="A4994" s="4">
        <v>4991</v>
      </c>
      <c r="B4994" s="5">
        <v>72701.208628596447</v>
      </c>
      <c r="C4994" s="19">
        <v>-9.7032535027396882</v>
      </c>
      <c r="D4994" s="5">
        <v>144787.45861532059</v>
      </c>
      <c r="E4994" s="6">
        <v>99.154128722929627</v>
      </c>
    </row>
    <row r="4995" spans="1:5" x14ac:dyDescent="0.3">
      <c r="A4995" s="4">
        <v>4992</v>
      </c>
      <c r="B4995" s="5">
        <v>56610.072029023249</v>
      </c>
      <c r="C4995" s="19">
        <v>-29.688853602005867</v>
      </c>
      <c r="D4995" s="5">
        <v>93602.001719171909</v>
      </c>
      <c r="E4995" s="6">
        <v>65.345138001561594</v>
      </c>
    </row>
    <row r="4996" spans="1:5" x14ac:dyDescent="0.3">
      <c r="A4996" s="4">
        <v>4993</v>
      </c>
      <c r="B4996" s="5">
        <v>79898.800442747117</v>
      </c>
      <c r="C4996" s="19">
        <v>-0.76366177252079726</v>
      </c>
      <c r="D4996" s="5">
        <v>164800.46569104114</v>
      </c>
      <c r="E4996" s="6">
        <v>106.26150177202199</v>
      </c>
    </row>
    <row r="4997" spans="1:5" x14ac:dyDescent="0.3">
      <c r="A4997" s="4">
        <v>4994</v>
      </c>
      <c r="B4997" s="5">
        <v>58696.609448986288</v>
      </c>
      <c r="C4997" s="19">
        <v>-27.097321163666987</v>
      </c>
      <c r="D4997" s="5">
        <v>100515.20862346452</v>
      </c>
      <c r="E4997" s="6">
        <v>71.245340347679075</v>
      </c>
    </row>
    <row r="4998" spans="1:5" x14ac:dyDescent="0.3">
      <c r="A4998" s="4">
        <v>4995</v>
      </c>
      <c r="B4998" s="5">
        <v>51741.431094145046</v>
      </c>
      <c r="C4998" s="19">
        <v>-35.735829224223508</v>
      </c>
      <c r="D4998" s="5">
        <v>99664.685170001088</v>
      </c>
      <c r="E4998" s="6">
        <v>92.620658266406053</v>
      </c>
    </row>
    <row r="4999" spans="1:5" x14ac:dyDescent="0.3">
      <c r="A4999" s="4">
        <v>4996</v>
      </c>
      <c r="B4999" s="5">
        <v>113340.00186064943</v>
      </c>
      <c r="C4999" s="19">
        <v>40.771159229181215</v>
      </c>
      <c r="D4999" s="5">
        <v>156689.74958078042</v>
      </c>
      <c r="E4999" s="6">
        <v>38.247526917662441</v>
      </c>
    </row>
    <row r="5000" spans="1:5" x14ac:dyDescent="0.3">
      <c r="A5000" s="4">
        <v>4997</v>
      </c>
      <c r="B5000" s="5">
        <v>84735.588569529224</v>
      </c>
      <c r="C5000" s="19">
        <v>5.2437518535191385</v>
      </c>
      <c r="D5000" s="5">
        <v>130742.02193572227</v>
      </c>
      <c r="E5000" s="6">
        <v>54.294109644901766</v>
      </c>
    </row>
    <row r="5001" spans="1:5" x14ac:dyDescent="0.3">
      <c r="A5001" s="4">
        <v>4998</v>
      </c>
      <c r="B5001" s="5">
        <v>94049.467378948</v>
      </c>
      <c r="C5001" s="19">
        <v>16.811825749741629</v>
      </c>
      <c r="D5001" s="5">
        <v>169949.92951598958</v>
      </c>
      <c r="E5001" s="6">
        <v>80.702702792797652</v>
      </c>
    </row>
    <row r="5002" spans="1:5" x14ac:dyDescent="0.3">
      <c r="A5002" s="4">
        <v>4999</v>
      </c>
      <c r="B5002" s="5">
        <v>96208.573774142526</v>
      </c>
      <c r="C5002" s="19">
        <v>19.493490697342068</v>
      </c>
      <c r="D5002" s="5">
        <v>188323.64523097107</v>
      </c>
      <c r="E5002" s="6">
        <v>95.745179294598202</v>
      </c>
    </row>
    <row r="5003" spans="1:5" x14ac:dyDescent="0.3">
      <c r="A5003" s="4">
        <v>5000</v>
      </c>
      <c r="B5003" s="5">
        <v>67902.806604655503</v>
      </c>
      <c r="C5003" s="19">
        <v>-15.662990614693406</v>
      </c>
      <c r="D5003" s="5">
        <v>125638.26170366636</v>
      </c>
      <c r="E5003" s="6">
        <v>85.026610807354231</v>
      </c>
    </row>
  </sheetData>
  <sortState xmlns:xlrd2="http://schemas.microsoft.com/office/spreadsheetml/2017/richdata2" ref="J36:J65">
    <sortCondition ref="J3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Dialog">
                <anchor moveWithCells="1" sizeWithCells="1">
                  <from>
                    <xdr:col>5</xdr:col>
                    <xdr:colOff>182880</xdr:colOff>
                    <xdr:row>0</xdr:row>
                    <xdr:rowOff>121920</xdr:rowOff>
                  </from>
                  <to>
                    <xdr:col>6</xdr:col>
                    <xdr:colOff>502920</xdr:colOff>
                    <xdr:row>0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MonteCarlo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Marissa</cp:lastModifiedBy>
  <dcterms:created xsi:type="dcterms:W3CDTF">2020-04-15T17:35:42Z</dcterms:created>
  <dcterms:modified xsi:type="dcterms:W3CDTF">2020-04-17T13:43:31Z</dcterms:modified>
</cp:coreProperties>
</file>